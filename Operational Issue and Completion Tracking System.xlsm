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60197\Desktop\Software Upskill Trainings\"/>
    </mc:Choice>
  </mc:AlternateContent>
  <xr:revisionPtr revIDLastSave="0" documentId="13_ncr:1_{B95E9B22-C1D5-4A72-B259-1B129DEE87F6}" xr6:coauthVersionLast="47" xr6:coauthVersionMax="47" xr10:uidLastSave="{00000000-0000-0000-0000-000000000000}"/>
  <bookViews>
    <workbookView xWindow="-108" yWindow="-108" windowWidth="23256" windowHeight="12456" tabRatio="832" xr2:uid="{CD83D31E-E1A0-4520-9F41-952854BACF29}"/>
  </bookViews>
  <sheets>
    <sheet name="READ ME" sheetId="20" r:id="rId1"/>
    <sheet name="Summary Closure Overview" sheetId="8" r:id="rId2"/>
    <sheet name="Job Planning" sheetId="15" r:id="rId3"/>
    <sheet name="Defect Daily Progress" sheetId="22" r:id="rId4"/>
    <sheet name="Defect List" sheetId="23" r:id="rId5"/>
    <sheet name="Outstanding Defect (PQ)" sheetId="27" r:id="rId6"/>
    <sheet name="Search" sheetId="16" r:id="rId7"/>
  </sheets>
  <definedNames>
    <definedName name="\" hidden="1">{#N/A,#N/A,TRUE,"LOADCOVE";#N/A,#N/A,TRUE,"PAGE001";#N/A,#N/A,TRUE,"PAGE002";#N/A,#N/A,TRUE,"PAGE003";#N/A,#N/A,TRUE,"PAGE004";#N/A,#N/A,TRUE,"PAGE005";#N/A,#N/A,TRUE,"PAGE006";#N/A,#N/A,TRUE,"PAGE007";#N/A,#N/A,TRUE,"PAGE008";#N/A,#N/A,TRUE,"PAGE009";#N/A,#N/A,TRUE,"PAGE010";#N/A,#N/A,TRUE,"PAGE011";#N/A,#N/A,TRUE,"PAGE012";#N/A,#N/A,TRUE,"PAGE013"}</definedName>
    <definedName name="__________________AAA1" hidden="1">{#N/A,#N/A,TRUE,"목차";#N/A,#N/A,TRUE,"1.";#N/A,#N/A,TRUE,"2.";#N/A,#N/A,TRUE,"3.";#N/A,#N/A,TRUE,"4-1";#N/A,#N/A,TRUE,"-2";#N/A,#N/A,TRUE,"-3";#N/A,#N/A,TRUE,"-4";#N/A,#N/A,TRUE,"5-1";#N/A,#N/A,TRUE,"5-2";#N/A,#N/A,TRUE,"6-1";#N/A,#N/A,TRUE,"6-2";#N/A,#N/A,TRUE,"7-1";#N/A,#N/A,TRUE,"7-2";#N/A,#N/A,TRUE,"8.";#N/A,#N/A,TRUE,"9."}</definedName>
    <definedName name="__________________out2" hidden="1">{#N/A,#N/A,TRUE,"목차";#N/A,#N/A,TRUE,"1.";#N/A,#N/A,TRUE,"2.";#N/A,#N/A,TRUE,"3.";#N/A,#N/A,TRUE,"4-1";#N/A,#N/A,TRUE,"-2";#N/A,#N/A,TRUE,"-3";#N/A,#N/A,TRUE,"-4";#N/A,#N/A,TRUE,"5-1";#N/A,#N/A,TRUE,"5-2";#N/A,#N/A,TRUE,"6-1";#N/A,#N/A,TRUE,"6-2";#N/A,#N/A,TRUE,"7-1";#N/A,#N/A,TRUE,"7-2";#N/A,#N/A,TRUE,"8.";#N/A,#N/A,TRUE,"9."}</definedName>
    <definedName name="_________________AAA1" hidden="1">{#N/A,#N/A,TRUE,"목차";#N/A,#N/A,TRUE,"1.";#N/A,#N/A,TRUE,"2.";#N/A,#N/A,TRUE,"3.";#N/A,#N/A,TRUE,"4-1";#N/A,#N/A,TRUE,"-2";#N/A,#N/A,TRUE,"-3";#N/A,#N/A,TRUE,"-4";#N/A,#N/A,TRUE,"5-1";#N/A,#N/A,TRUE,"5-2";#N/A,#N/A,TRUE,"6-1";#N/A,#N/A,TRUE,"6-2";#N/A,#N/A,TRUE,"7-1";#N/A,#N/A,TRUE,"7-2";#N/A,#N/A,TRUE,"8.";#N/A,#N/A,TRUE,"9."}</definedName>
    <definedName name="_________________out2" hidden="1">{#N/A,#N/A,TRUE,"목차";#N/A,#N/A,TRUE,"1.";#N/A,#N/A,TRUE,"2.";#N/A,#N/A,TRUE,"3.";#N/A,#N/A,TRUE,"4-1";#N/A,#N/A,TRUE,"-2";#N/A,#N/A,TRUE,"-3";#N/A,#N/A,TRUE,"-4";#N/A,#N/A,TRUE,"5-1";#N/A,#N/A,TRUE,"5-2";#N/A,#N/A,TRUE,"6-1";#N/A,#N/A,TRUE,"6-2";#N/A,#N/A,TRUE,"7-1";#N/A,#N/A,TRUE,"7-2";#N/A,#N/A,TRUE,"8.";#N/A,#N/A,TRUE,"9."}</definedName>
    <definedName name="________________AAA1" hidden="1">{#N/A,#N/A,TRUE,"목차";#N/A,#N/A,TRUE,"1.";#N/A,#N/A,TRUE,"2.";#N/A,#N/A,TRUE,"3.";#N/A,#N/A,TRUE,"4-1";#N/A,#N/A,TRUE,"-2";#N/A,#N/A,TRUE,"-3";#N/A,#N/A,TRUE,"-4";#N/A,#N/A,TRUE,"5-1";#N/A,#N/A,TRUE,"5-2";#N/A,#N/A,TRUE,"6-1";#N/A,#N/A,TRUE,"6-2";#N/A,#N/A,TRUE,"7-1";#N/A,#N/A,TRUE,"7-2";#N/A,#N/A,TRUE,"8.";#N/A,#N/A,TRUE,"9."}</definedName>
    <definedName name="________________MAP12" hidden="1">{#N/A,#N/A,TRUE,"LOADCOVE";#N/A,#N/A,TRUE,"PAGE001";#N/A,#N/A,TRUE,"PAGE002";#N/A,#N/A,TRUE,"PAGE003";#N/A,#N/A,TRUE,"PAGE004";#N/A,#N/A,TRUE,"PAGE005";#N/A,#N/A,TRUE,"PAGE006";#N/A,#N/A,TRUE,"PAGE007";#N/A,#N/A,TRUE,"PAGE008";#N/A,#N/A,TRUE,"PAGE009";#N/A,#N/A,TRUE,"PAGE010";#N/A,#N/A,TRUE,"PAGE011";#N/A,#N/A,TRUE,"PAGE012";#N/A,#N/A,TRUE,"PAGE013"}</definedName>
    <definedName name="________________out2" hidden="1">{#N/A,#N/A,TRUE,"목차";#N/A,#N/A,TRUE,"1.";#N/A,#N/A,TRUE,"2.";#N/A,#N/A,TRUE,"3.";#N/A,#N/A,TRUE,"4-1";#N/A,#N/A,TRUE,"-2";#N/A,#N/A,TRUE,"-3";#N/A,#N/A,TRUE,"-4";#N/A,#N/A,TRUE,"5-1";#N/A,#N/A,TRUE,"5-2";#N/A,#N/A,TRUE,"6-1";#N/A,#N/A,TRUE,"6-2";#N/A,#N/A,TRUE,"7-1";#N/A,#N/A,TRUE,"7-2";#N/A,#N/A,TRUE,"8.";#N/A,#N/A,TRUE,"9."}</definedName>
    <definedName name="_______________AAA1" hidden="1">{#N/A,#N/A,TRUE,"목차";#N/A,#N/A,TRUE,"1.";#N/A,#N/A,TRUE,"2.";#N/A,#N/A,TRUE,"3.";#N/A,#N/A,TRUE,"4-1";#N/A,#N/A,TRUE,"-2";#N/A,#N/A,TRUE,"-3";#N/A,#N/A,TRUE,"-4";#N/A,#N/A,TRUE,"5-1";#N/A,#N/A,TRUE,"5-2";#N/A,#N/A,TRUE,"6-1";#N/A,#N/A,TRUE,"6-2";#N/A,#N/A,TRUE,"7-1";#N/A,#N/A,TRUE,"7-2";#N/A,#N/A,TRUE,"8.";#N/A,#N/A,TRUE,"9."}</definedName>
    <definedName name="_______________MAP12" hidden="1">{#N/A,#N/A,TRUE,"LOADCOVE";#N/A,#N/A,TRUE,"PAGE001";#N/A,#N/A,TRUE,"PAGE002";#N/A,#N/A,TRUE,"PAGE003";#N/A,#N/A,TRUE,"PAGE004";#N/A,#N/A,TRUE,"PAGE005";#N/A,#N/A,TRUE,"PAGE006";#N/A,#N/A,TRUE,"PAGE007";#N/A,#N/A,TRUE,"PAGE008";#N/A,#N/A,TRUE,"PAGE009";#N/A,#N/A,TRUE,"PAGE010";#N/A,#N/A,TRUE,"PAGE011";#N/A,#N/A,TRUE,"PAGE012";#N/A,#N/A,TRUE,"PAGE013"}</definedName>
    <definedName name="_______________out2" hidden="1">{#N/A,#N/A,TRUE,"목차";#N/A,#N/A,TRUE,"1.";#N/A,#N/A,TRUE,"2.";#N/A,#N/A,TRUE,"3.";#N/A,#N/A,TRUE,"4-1";#N/A,#N/A,TRUE,"-2";#N/A,#N/A,TRUE,"-3";#N/A,#N/A,TRUE,"-4";#N/A,#N/A,TRUE,"5-1";#N/A,#N/A,TRUE,"5-2";#N/A,#N/A,TRUE,"6-1";#N/A,#N/A,TRUE,"6-2";#N/A,#N/A,TRUE,"7-1";#N/A,#N/A,TRUE,"7-2";#N/A,#N/A,TRUE,"8.";#N/A,#N/A,TRUE,"9."}</definedName>
    <definedName name="______________AAA1" hidden="1">{#N/A,#N/A,TRUE,"목차";#N/A,#N/A,TRUE,"1.";#N/A,#N/A,TRUE,"2.";#N/A,#N/A,TRUE,"3.";#N/A,#N/A,TRUE,"4-1";#N/A,#N/A,TRUE,"-2";#N/A,#N/A,TRUE,"-3";#N/A,#N/A,TRUE,"-4";#N/A,#N/A,TRUE,"5-1";#N/A,#N/A,TRUE,"5-2";#N/A,#N/A,TRUE,"6-1";#N/A,#N/A,TRUE,"6-2";#N/A,#N/A,TRUE,"7-1";#N/A,#N/A,TRUE,"7-2";#N/A,#N/A,TRUE,"8.";#N/A,#N/A,TRUE,"9."}</definedName>
    <definedName name="______________MAP12" hidden="1">{#N/A,#N/A,TRUE,"LOADCOVE";#N/A,#N/A,TRUE,"PAGE001";#N/A,#N/A,TRUE,"PAGE002";#N/A,#N/A,TRUE,"PAGE003";#N/A,#N/A,TRUE,"PAGE004";#N/A,#N/A,TRUE,"PAGE005";#N/A,#N/A,TRUE,"PAGE006";#N/A,#N/A,TRUE,"PAGE007";#N/A,#N/A,TRUE,"PAGE008";#N/A,#N/A,TRUE,"PAGE009";#N/A,#N/A,TRUE,"PAGE010";#N/A,#N/A,TRUE,"PAGE011";#N/A,#N/A,TRUE,"PAGE012";#N/A,#N/A,TRUE,"PAGE013"}</definedName>
    <definedName name="______________out2" hidden="1">{#N/A,#N/A,TRUE,"목차";#N/A,#N/A,TRUE,"1.";#N/A,#N/A,TRUE,"2.";#N/A,#N/A,TRUE,"3.";#N/A,#N/A,TRUE,"4-1";#N/A,#N/A,TRUE,"-2";#N/A,#N/A,TRUE,"-3";#N/A,#N/A,TRUE,"-4";#N/A,#N/A,TRUE,"5-1";#N/A,#N/A,TRUE,"5-2";#N/A,#N/A,TRUE,"6-1";#N/A,#N/A,TRUE,"6-2";#N/A,#N/A,TRUE,"7-1";#N/A,#N/A,TRUE,"7-2";#N/A,#N/A,TRUE,"8.";#N/A,#N/A,TRUE,"9."}</definedName>
    <definedName name="_____________AAA1" hidden="1">{#N/A,#N/A,TRUE,"목차";#N/A,#N/A,TRUE,"1.";#N/A,#N/A,TRUE,"2.";#N/A,#N/A,TRUE,"3.";#N/A,#N/A,TRUE,"4-1";#N/A,#N/A,TRUE,"-2";#N/A,#N/A,TRUE,"-3";#N/A,#N/A,TRUE,"-4";#N/A,#N/A,TRUE,"5-1";#N/A,#N/A,TRUE,"5-2";#N/A,#N/A,TRUE,"6-1";#N/A,#N/A,TRUE,"6-2";#N/A,#N/A,TRUE,"7-1";#N/A,#N/A,TRUE,"7-2";#N/A,#N/A,TRUE,"8.";#N/A,#N/A,TRUE,"9."}</definedName>
    <definedName name="_____________MAP12" hidden="1">{#N/A,#N/A,TRUE,"LOADCOVE";#N/A,#N/A,TRUE,"PAGE001";#N/A,#N/A,TRUE,"PAGE002";#N/A,#N/A,TRUE,"PAGE003";#N/A,#N/A,TRUE,"PAGE004";#N/A,#N/A,TRUE,"PAGE005";#N/A,#N/A,TRUE,"PAGE006";#N/A,#N/A,TRUE,"PAGE007";#N/A,#N/A,TRUE,"PAGE008";#N/A,#N/A,TRUE,"PAGE009";#N/A,#N/A,TRUE,"PAGE010";#N/A,#N/A,TRUE,"PAGE011";#N/A,#N/A,TRUE,"PAGE012";#N/A,#N/A,TRUE,"PAGE013"}</definedName>
    <definedName name="_____________out2" hidden="1">{#N/A,#N/A,TRUE,"목차";#N/A,#N/A,TRUE,"1.";#N/A,#N/A,TRUE,"2.";#N/A,#N/A,TRUE,"3.";#N/A,#N/A,TRUE,"4-1";#N/A,#N/A,TRUE,"-2";#N/A,#N/A,TRUE,"-3";#N/A,#N/A,TRUE,"-4";#N/A,#N/A,TRUE,"5-1";#N/A,#N/A,TRUE,"5-2";#N/A,#N/A,TRUE,"6-1";#N/A,#N/A,TRUE,"6-2";#N/A,#N/A,TRUE,"7-1";#N/A,#N/A,TRUE,"7-2";#N/A,#N/A,TRUE,"8.";#N/A,#N/A,TRUE,"9."}</definedName>
    <definedName name="____________AAA1" hidden="1">{#N/A,#N/A,TRUE,"목차";#N/A,#N/A,TRUE,"1.";#N/A,#N/A,TRUE,"2.";#N/A,#N/A,TRUE,"3.";#N/A,#N/A,TRUE,"4-1";#N/A,#N/A,TRUE,"-2";#N/A,#N/A,TRUE,"-3";#N/A,#N/A,TRUE,"-4";#N/A,#N/A,TRUE,"5-1";#N/A,#N/A,TRUE,"5-2";#N/A,#N/A,TRUE,"6-1";#N/A,#N/A,TRUE,"6-2";#N/A,#N/A,TRUE,"7-1";#N/A,#N/A,TRUE,"7-2";#N/A,#N/A,TRUE,"8.";#N/A,#N/A,TRUE,"9."}</definedName>
    <definedName name="____________out2" hidden="1">{#N/A,#N/A,TRUE,"목차";#N/A,#N/A,TRUE,"1.";#N/A,#N/A,TRUE,"2.";#N/A,#N/A,TRUE,"3.";#N/A,#N/A,TRUE,"4-1";#N/A,#N/A,TRUE,"-2";#N/A,#N/A,TRUE,"-3";#N/A,#N/A,TRUE,"-4";#N/A,#N/A,TRUE,"5-1";#N/A,#N/A,TRUE,"5-2";#N/A,#N/A,TRUE,"6-1";#N/A,#N/A,TRUE,"6-2";#N/A,#N/A,TRUE,"7-1";#N/A,#N/A,TRUE,"7-2";#N/A,#N/A,TRUE,"8.";#N/A,#N/A,TRUE,"9."}</definedName>
    <definedName name="___________AAA1" hidden="1">{#N/A,#N/A,TRUE,"목차";#N/A,#N/A,TRUE,"1.";#N/A,#N/A,TRUE,"2.";#N/A,#N/A,TRUE,"3.";#N/A,#N/A,TRUE,"4-1";#N/A,#N/A,TRUE,"-2";#N/A,#N/A,TRUE,"-3";#N/A,#N/A,TRUE,"-4";#N/A,#N/A,TRUE,"5-1";#N/A,#N/A,TRUE,"5-2";#N/A,#N/A,TRUE,"6-1";#N/A,#N/A,TRUE,"6-2";#N/A,#N/A,TRUE,"7-1";#N/A,#N/A,TRUE,"7-2";#N/A,#N/A,TRUE,"8.";#N/A,#N/A,TRUE,"9."}</definedName>
    <definedName name="___________MAP12" hidden="1">{#N/A,#N/A,TRUE,"LOADCOVE";#N/A,#N/A,TRUE,"PAGE001";#N/A,#N/A,TRUE,"PAGE002";#N/A,#N/A,TRUE,"PAGE003";#N/A,#N/A,TRUE,"PAGE004";#N/A,#N/A,TRUE,"PAGE005";#N/A,#N/A,TRUE,"PAGE006";#N/A,#N/A,TRUE,"PAGE007";#N/A,#N/A,TRUE,"PAGE008";#N/A,#N/A,TRUE,"PAGE009";#N/A,#N/A,TRUE,"PAGE010";#N/A,#N/A,TRUE,"PAGE011";#N/A,#N/A,TRUE,"PAGE012";#N/A,#N/A,TRUE,"PAGE013"}</definedName>
    <definedName name="___________out2" hidden="1">{#N/A,#N/A,TRUE,"목차";#N/A,#N/A,TRUE,"1.";#N/A,#N/A,TRUE,"2.";#N/A,#N/A,TRUE,"3.";#N/A,#N/A,TRUE,"4-1";#N/A,#N/A,TRUE,"-2";#N/A,#N/A,TRUE,"-3";#N/A,#N/A,TRUE,"-4";#N/A,#N/A,TRUE,"5-1";#N/A,#N/A,TRUE,"5-2";#N/A,#N/A,TRUE,"6-1";#N/A,#N/A,TRUE,"6-2";#N/A,#N/A,TRUE,"7-1";#N/A,#N/A,TRUE,"7-2";#N/A,#N/A,TRUE,"8.";#N/A,#N/A,TRUE,"9."}</definedName>
    <definedName name="__________AAA1" hidden="1">{#N/A,#N/A,TRUE,"목차";#N/A,#N/A,TRUE,"1.";#N/A,#N/A,TRUE,"2.";#N/A,#N/A,TRUE,"3.";#N/A,#N/A,TRUE,"4-1";#N/A,#N/A,TRUE,"-2";#N/A,#N/A,TRUE,"-3";#N/A,#N/A,TRUE,"-4";#N/A,#N/A,TRUE,"5-1";#N/A,#N/A,TRUE,"5-2";#N/A,#N/A,TRUE,"6-1";#N/A,#N/A,TRUE,"6-2";#N/A,#N/A,TRUE,"7-1";#N/A,#N/A,TRUE,"7-2";#N/A,#N/A,TRUE,"8.";#N/A,#N/A,TRUE,"9."}</definedName>
    <definedName name="__________MAP12" hidden="1">{#N/A,#N/A,TRUE,"LOADCOVE";#N/A,#N/A,TRUE,"PAGE001";#N/A,#N/A,TRUE,"PAGE002";#N/A,#N/A,TRUE,"PAGE003";#N/A,#N/A,TRUE,"PAGE004";#N/A,#N/A,TRUE,"PAGE005";#N/A,#N/A,TRUE,"PAGE006";#N/A,#N/A,TRUE,"PAGE007";#N/A,#N/A,TRUE,"PAGE008";#N/A,#N/A,TRUE,"PAGE009";#N/A,#N/A,TRUE,"PAGE010";#N/A,#N/A,TRUE,"PAGE011";#N/A,#N/A,TRUE,"PAGE012";#N/A,#N/A,TRUE,"PAGE013"}</definedName>
    <definedName name="__________out2" hidden="1">{#N/A,#N/A,TRUE,"목차";#N/A,#N/A,TRUE,"1.";#N/A,#N/A,TRUE,"2.";#N/A,#N/A,TRUE,"3.";#N/A,#N/A,TRUE,"4-1";#N/A,#N/A,TRUE,"-2";#N/A,#N/A,TRUE,"-3";#N/A,#N/A,TRUE,"-4";#N/A,#N/A,TRUE,"5-1";#N/A,#N/A,TRUE,"5-2";#N/A,#N/A,TRUE,"6-1";#N/A,#N/A,TRUE,"6-2";#N/A,#N/A,TRUE,"7-1";#N/A,#N/A,TRUE,"7-2";#N/A,#N/A,TRUE,"8.";#N/A,#N/A,TRUE,"9."}</definedName>
    <definedName name="_________AAA1" hidden="1">{#N/A,#N/A,TRUE,"목차";#N/A,#N/A,TRUE,"1.";#N/A,#N/A,TRUE,"2.";#N/A,#N/A,TRUE,"3.";#N/A,#N/A,TRUE,"4-1";#N/A,#N/A,TRUE,"-2";#N/A,#N/A,TRUE,"-3";#N/A,#N/A,TRUE,"-4";#N/A,#N/A,TRUE,"5-1";#N/A,#N/A,TRUE,"5-2";#N/A,#N/A,TRUE,"6-1";#N/A,#N/A,TRUE,"6-2";#N/A,#N/A,TRUE,"7-1";#N/A,#N/A,TRUE,"7-2";#N/A,#N/A,TRUE,"8.";#N/A,#N/A,TRUE,"9."}</definedName>
    <definedName name="_________DAT2" hidden="1">{#N/A,#N/A,FALSE,"PRO_LV1"}</definedName>
    <definedName name="_________MAP12" hidden="1">{#N/A,#N/A,TRUE,"LOADCOVE";#N/A,#N/A,TRUE,"PAGE001";#N/A,#N/A,TRUE,"PAGE002";#N/A,#N/A,TRUE,"PAGE003";#N/A,#N/A,TRUE,"PAGE004";#N/A,#N/A,TRUE,"PAGE005";#N/A,#N/A,TRUE,"PAGE006";#N/A,#N/A,TRUE,"PAGE007";#N/A,#N/A,TRUE,"PAGE008";#N/A,#N/A,TRUE,"PAGE009";#N/A,#N/A,TRUE,"PAGE010";#N/A,#N/A,TRUE,"PAGE011";#N/A,#N/A,TRUE,"PAGE012";#N/A,#N/A,TRUE,"PAGE013"}</definedName>
    <definedName name="_________out2" hidden="1">{#N/A,#N/A,TRUE,"목차";#N/A,#N/A,TRUE,"1.";#N/A,#N/A,TRUE,"2.";#N/A,#N/A,TRUE,"3.";#N/A,#N/A,TRUE,"4-1";#N/A,#N/A,TRUE,"-2";#N/A,#N/A,TRUE,"-3";#N/A,#N/A,TRUE,"-4";#N/A,#N/A,TRUE,"5-1";#N/A,#N/A,TRUE,"5-2";#N/A,#N/A,TRUE,"6-1";#N/A,#N/A,TRUE,"6-2";#N/A,#N/A,TRUE,"7-1";#N/A,#N/A,TRUE,"7-2";#N/A,#N/A,TRUE,"8.";#N/A,#N/A,TRUE,"9."}</definedName>
    <definedName name="________AAA1" hidden="1">{#N/A,#N/A,TRUE,"목차";#N/A,#N/A,TRUE,"1.";#N/A,#N/A,TRUE,"2.";#N/A,#N/A,TRUE,"3.";#N/A,#N/A,TRUE,"4-1";#N/A,#N/A,TRUE,"-2";#N/A,#N/A,TRUE,"-3";#N/A,#N/A,TRUE,"-4";#N/A,#N/A,TRUE,"5-1";#N/A,#N/A,TRUE,"5-2";#N/A,#N/A,TRUE,"6-1";#N/A,#N/A,TRUE,"6-2";#N/A,#N/A,TRUE,"7-1";#N/A,#N/A,TRUE,"7-2";#N/A,#N/A,TRUE,"8.";#N/A,#N/A,TRUE,"9."}</definedName>
    <definedName name="________MAP12" hidden="1">{#N/A,#N/A,TRUE,"LOADCOVE";#N/A,#N/A,TRUE,"PAGE001";#N/A,#N/A,TRUE,"PAGE002";#N/A,#N/A,TRUE,"PAGE003";#N/A,#N/A,TRUE,"PAGE004";#N/A,#N/A,TRUE,"PAGE005";#N/A,#N/A,TRUE,"PAGE006";#N/A,#N/A,TRUE,"PAGE007";#N/A,#N/A,TRUE,"PAGE008";#N/A,#N/A,TRUE,"PAGE009";#N/A,#N/A,TRUE,"PAGE010";#N/A,#N/A,TRUE,"PAGE011";#N/A,#N/A,TRUE,"PAGE012";#N/A,#N/A,TRUE,"PAGE013"}</definedName>
    <definedName name="________out2" hidden="1">{#N/A,#N/A,TRUE,"목차";#N/A,#N/A,TRUE,"1.";#N/A,#N/A,TRUE,"2.";#N/A,#N/A,TRUE,"3.";#N/A,#N/A,TRUE,"4-1";#N/A,#N/A,TRUE,"-2";#N/A,#N/A,TRUE,"-3";#N/A,#N/A,TRUE,"-4";#N/A,#N/A,TRUE,"5-1";#N/A,#N/A,TRUE,"5-2";#N/A,#N/A,TRUE,"6-1";#N/A,#N/A,TRUE,"6-2";#N/A,#N/A,TRUE,"7-1";#N/A,#N/A,TRUE,"7-2";#N/A,#N/A,TRUE,"8.";#N/A,#N/A,TRUE,"9."}</definedName>
    <definedName name="________xlfn.BAHTTEXT" hidden="1">#NAME?</definedName>
    <definedName name="_______AAA1" hidden="1">{#N/A,#N/A,TRUE,"목차";#N/A,#N/A,TRUE,"1.";#N/A,#N/A,TRUE,"2.";#N/A,#N/A,TRUE,"3.";#N/A,#N/A,TRUE,"4-1";#N/A,#N/A,TRUE,"-2";#N/A,#N/A,TRUE,"-3";#N/A,#N/A,TRUE,"-4";#N/A,#N/A,TRUE,"5-1";#N/A,#N/A,TRUE,"5-2";#N/A,#N/A,TRUE,"6-1";#N/A,#N/A,TRUE,"6-2";#N/A,#N/A,TRUE,"7-1";#N/A,#N/A,TRUE,"7-2";#N/A,#N/A,TRUE,"8.";#N/A,#N/A,TRUE,"9."}</definedName>
    <definedName name="_______D1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__DAT2" hidden="1">{#N/A,#N/A,FALSE,"PRO_LV1"}</definedName>
    <definedName name="_______ddt1" hidden="1">{#N/A,#N/A,TRUE,"목차";#N/A,#N/A,TRUE,"1.";#N/A,#N/A,TRUE,"2.";#N/A,#N/A,TRUE,"3.";#N/A,#N/A,TRUE,"4-1";#N/A,#N/A,TRUE,"-2";#N/A,#N/A,TRUE,"-3";#N/A,#N/A,TRUE,"-4";#N/A,#N/A,TRUE,"5-1";#N/A,#N/A,TRUE,"5-2";#N/A,#N/A,TRUE,"6-1";#N/A,#N/A,TRUE,"6-2";#N/A,#N/A,TRUE,"7-1";#N/A,#N/A,TRUE,"7-2";#N/A,#N/A,TRUE,"8.";#N/A,#N/A,TRUE,"9."}</definedName>
    <definedName name="_______ffg12" hidden="1">{#N/A,#N/A,TRUE,"목차";#N/A,#N/A,TRUE,"1.";#N/A,#N/A,TRUE,"2.";#N/A,#N/A,TRUE,"3.";#N/A,#N/A,TRUE,"4-1";#N/A,#N/A,TRUE,"-2";#N/A,#N/A,TRUE,"-3";#N/A,#N/A,TRUE,"-4";#N/A,#N/A,TRUE,"5-1";#N/A,#N/A,TRUE,"5-2";#N/A,#N/A,TRUE,"6-1";#N/A,#N/A,TRUE,"6-2";#N/A,#N/A,TRUE,"7-1";#N/A,#N/A,TRUE,"7-2";#N/A,#N/A,TRUE,"8.";#N/A,#N/A,TRUE,"9."}</definedName>
    <definedName name="_______K33"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__MAP12" hidden="1">{#N/A,#N/A,TRUE,"LOADCOVE";#N/A,#N/A,TRUE,"PAGE001";#N/A,#N/A,TRUE,"PAGE002";#N/A,#N/A,TRUE,"PAGE003";#N/A,#N/A,TRUE,"PAGE004";#N/A,#N/A,TRUE,"PAGE005";#N/A,#N/A,TRUE,"PAGE006";#N/A,#N/A,TRUE,"PAGE007";#N/A,#N/A,TRUE,"PAGE008";#N/A,#N/A,TRUE,"PAGE009";#N/A,#N/A,TRUE,"PAGE010";#N/A,#N/A,TRUE,"PAGE011";#N/A,#N/A,TRUE,"PAGE012";#N/A,#N/A,TRUE,"PAGE013"}</definedName>
    <definedName name="_______out2" hidden="1">{#N/A,#N/A,TRUE,"목차";#N/A,#N/A,TRUE,"1.";#N/A,#N/A,TRUE,"2.";#N/A,#N/A,TRUE,"3.";#N/A,#N/A,TRUE,"4-1";#N/A,#N/A,TRUE,"-2";#N/A,#N/A,TRUE,"-3";#N/A,#N/A,TRUE,"-4";#N/A,#N/A,TRUE,"5-1";#N/A,#N/A,TRUE,"5-2";#N/A,#N/A,TRUE,"6-1";#N/A,#N/A,TRUE,"6-2";#N/A,#N/A,TRUE,"7-1";#N/A,#N/A,TRUE,"7-2";#N/A,#N/A,TRUE,"8.";#N/A,#N/A,TRUE,"9."}</definedName>
    <definedName name="_______OUT929" hidden="1">{#N/A,#N/A,TRUE,"목차";#N/A,#N/A,TRUE,"1.";#N/A,#N/A,TRUE,"2.";#N/A,#N/A,TRUE,"3.";#N/A,#N/A,TRUE,"4-1";#N/A,#N/A,TRUE,"-2";#N/A,#N/A,TRUE,"-3";#N/A,#N/A,TRUE,"-4";#N/A,#N/A,TRUE,"5-1";#N/A,#N/A,TRUE,"5-2";#N/A,#N/A,TRUE,"6-1";#N/A,#N/A,TRUE,"6-2";#N/A,#N/A,TRUE,"7-1";#N/A,#N/A,TRUE,"7-2";#N/A,#N/A,TRUE,"8.";#N/A,#N/A,TRUE,"9."}</definedName>
    <definedName name="_______sh1" hidden="1">{#N/A,#N/A,TRUE,"목차";#N/A,#N/A,TRUE,"1.";#N/A,#N/A,TRUE,"2.";#N/A,#N/A,TRUE,"3.";#N/A,#N/A,TRUE,"4-1";#N/A,#N/A,TRUE,"-2";#N/A,#N/A,TRUE,"-3";#N/A,#N/A,TRUE,"-4";#N/A,#N/A,TRUE,"5-1";#N/A,#N/A,TRUE,"5-2";#N/A,#N/A,TRUE,"6-1";#N/A,#N/A,TRUE,"6-2";#N/A,#N/A,TRUE,"7-1";#N/A,#N/A,TRUE,"7-2";#N/A,#N/A,TRUE,"8.";#N/A,#N/A,TRUE,"9."}</definedName>
    <definedName name="_______xlfn.BAHTTEXT" hidden="1">#NAME?</definedName>
    <definedName name="______AAA1" hidden="1">{#N/A,#N/A,TRUE,"목차";#N/A,#N/A,TRUE,"1.";#N/A,#N/A,TRUE,"2.";#N/A,#N/A,TRUE,"3.";#N/A,#N/A,TRUE,"4-1";#N/A,#N/A,TRUE,"-2";#N/A,#N/A,TRUE,"-3";#N/A,#N/A,TRUE,"-4";#N/A,#N/A,TRUE,"5-1";#N/A,#N/A,TRUE,"5-2";#N/A,#N/A,TRUE,"6-1";#N/A,#N/A,TRUE,"6-2";#N/A,#N/A,TRUE,"7-1";#N/A,#N/A,TRUE,"7-2";#N/A,#N/A,TRUE,"8.";#N/A,#N/A,TRUE,"9."}</definedName>
    <definedName name="______AAA2" hidden="1">{#N/A,#N/A,TRUE,"목차";#N/A,#N/A,TRUE,"1.";#N/A,#N/A,TRUE,"2.";#N/A,#N/A,TRUE,"3.";#N/A,#N/A,TRUE,"4-1";#N/A,#N/A,TRUE,"-2";#N/A,#N/A,TRUE,"-3";#N/A,#N/A,TRUE,"-4";#N/A,#N/A,TRUE,"5-1";#N/A,#N/A,TRUE,"5-2";#N/A,#N/A,TRUE,"6-1";#N/A,#N/A,TRUE,"6-2";#N/A,#N/A,TRUE,"7-1";#N/A,#N/A,TRUE,"7-2";#N/A,#N/A,TRUE,"8.";#N/A,#N/A,TRUE,"9."}</definedName>
    <definedName name="______D1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_ddt1" hidden="1">{#N/A,#N/A,TRUE,"목차";#N/A,#N/A,TRUE,"1.";#N/A,#N/A,TRUE,"2.";#N/A,#N/A,TRUE,"3.";#N/A,#N/A,TRUE,"4-1";#N/A,#N/A,TRUE,"-2";#N/A,#N/A,TRUE,"-3";#N/A,#N/A,TRUE,"-4";#N/A,#N/A,TRUE,"5-1";#N/A,#N/A,TRUE,"5-2";#N/A,#N/A,TRUE,"6-1";#N/A,#N/A,TRUE,"6-2";#N/A,#N/A,TRUE,"7-1";#N/A,#N/A,TRUE,"7-2";#N/A,#N/A,TRUE,"8.";#N/A,#N/A,TRUE,"9."}</definedName>
    <definedName name="______ffg12" hidden="1">{#N/A,#N/A,TRUE,"목차";#N/A,#N/A,TRUE,"1.";#N/A,#N/A,TRUE,"2.";#N/A,#N/A,TRUE,"3.";#N/A,#N/A,TRUE,"4-1";#N/A,#N/A,TRUE,"-2";#N/A,#N/A,TRUE,"-3";#N/A,#N/A,TRUE,"-4";#N/A,#N/A,TRUE,"5-1";#N/A,#N/A,TRUE,"5-2";#N/A,#N/A,TRUE,"6-1";#N/A,#N/A,TRUE,"6-2";#N/A,#N/A,TRUE,"7-1";#N/A,#N/A,TRUE,"7-2";#N/A,#N/A,TRUE,"8.";#N/A,#N/A,TRUE,"9."}</definedName>
    <definedName name="______K33"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_LOT2" hidden="1">{#N/A,#N/A,TRUE,"목차";#N/A,#N/A,TRUE,"1.";#N/A,#N/A,TRUE,"2.";#N/A,#N/A,TRUE,"3.";#N/A,#N/A,TRUE,"4-1";#N/A,#N/A,TRUE,"-2";#N/A,#N/A,TRUE,"-3";#N/A,#N/A,TRUE,"-4";#N/A,#N/A,TRUE,"5-1";#N/A,#N/A,TRUE,"5-2";#N/A,#N/A,TRUE,"6-1";#N/A,#N/A,TRUE,"6-2";#N/A,#N/A,TRUE,"7-1";#N/A,#N/A,TRUE,"7-2";#N/A,#N/A,TRUE,"8.";#N/A,#N/A,TRUE,"9."}</definedName>
    <definedName name="______MAP12" hidden="1">{#N/A,#N/A,TRUE,"LOADCOVE";#N/A,#N/A,TRUE,"PAGE001";#N/A,#N/A,TRUE,"PAGE002";#N/A,#N/A,TRUE,"PAGE003";#N/A,#N/A,TRUE,"PAGE004";#N/A,#N/A,TRUE,"PAGE005";#N/A,#N/A,TRUE,"PAGE006";#N/A,#N/A,TRUE,"PAGE007";#N/A,#N/A,TRUE,"PAGE008";#N/A,#N/A,TRUE,"PAGE009";#N/A,#N/A,TRUE,"PAGE010";#N/A,#N/A,TRUE,"PAGE011";#N/A,#N/A,TRUE,"PAGE012";#N/A,#N/A,TRUE,"PAGE013"}</definedName>
    <definedName name="______out2" hidden="1">{#N/A,#N/A,TRUE,"목차";#N/A,#N/A,TRUE,"1.";#N/A,#N/A,TRUE,"2.";#N/A,#N/A,TRUE,"3.";#N/A,#N/A,TRUE,"4-1";#N/A,#N/A,TRUE,"-2";#N/A,#N/A,TRUE,"-3";#N/A,#N/A,TRUE,"-4";#N/A,#N/A,TRUE,"5-1";#N/A,#N/A,TRUE,"5-2";#N/A,#N/A,TRUE,"6-1";#N/A,#N/A,TRUE,"6-2";#N/A,#N/A,TRUE,"7-1";#N/A,#N/A,TRUE,"7-2";#N/A,#N/A,TRUE,"8.";#N/A,#N/A,TRUE,"9."}</definedName>
    <definedName name="______OUT929" hidden="1">{#N/A,#N/A,TRUE,"목차";#N/A,#N/A,TRUE,"1.";#N/A,#N/A,TRUE,"2.";#N/A,#N/A,TRUE,"3.";#N/A,#N/A,TRUE,"4-1";#N/A,#N/A,TRUE,"-2";#N/A,#N/A,TRUE,"-3";#N/A,#N/A,TRUE,"-4";#N/A,#N/A,TRUE,"5-1";#N/A,#N/A,TRUE,"5-2";#N/A,#N/A,TRUE,"6-1";#N/A,#N/A,TRUE,"6-2";#N/A,#N/A,TRUE,"7-1";#N/A,#N/A,TRUE,"7-2";#N/A,#N/A,TRUE,"8.";#N/A,#N/A,TRUE,"9."}</definedName>
    <definedName name="______sh1" hidden="1">{#N/A,#N/A,TRUE,"목차";#N/A,#N/A,TRUE,"1.";#N/A,#N/A,TRUE,"2.";#N/A,#N/A,TRUE,"3.";#N/A,#N/A,TRUE,"4-1";#N/A,#N/A,TRUE,"-2";#N/A,#N/A,TRUE,"-3";#N/A,#N/A,TRUE,"-4";#N/A,#N/A,TRUE,"5-1";#N/A,#N/A,TRUE,"5-2";#N/A,#N/A,TRUE,"6-1";#N/A,#N/A,TRUE,"6-2";#N/A,#N/A,TRUE,"7-1";#N/A,#N/A,TRUE,"7-2";#N/A,#N/A,TRUE,"8.";#N/A,#N/A,TRUE,"9."}</definedName>
    <definedName name="______T1" hidden="1">{#N/A,#N/A,TRUE,"목차";#N/A,#N/A,TRUE,"1.";#N/A,#N/A,TRUE,"2.";#N/A,#N/A,TRUE,"3.";#N/A,#N/A,TRUE,"4-1";#N/A,#N/A,TRUE,"-2";#N/A,#N/A,TRUE,"-3";#N/A,#N/A,TRUE,"-4";#N/A,#N/A,TRUE,"5-1";#N/A,#N/A,TRUE,"5-2";#N/A,#N/A,TRUE,"6-1";#N/A,#N/A,TRUE,"6-2";#N/A,#N/A,TRUE,"7-1";#N/A,#N/A,TRUE,"7-2";#N/A,#N/A,TRUE,"8.";#N/A,#N/A,TRUE,"9."}</definedName>
    <definedName name="______xlfn.BAHTTEXT" hidden="1">#NAME?</definedName>
    <definedName name="_____AAA1" hidden="1">{#N/A,#N/A,TRUE,"목차";#N/A,#N/A,TRUE,"1.";#N/A,#N/A,TRUE,"2.";#N/A,#N/A,TRUE,"3.";#N/A,#N/A,TRUE,"4-1";#N/A,#N/A,TRUE,"-2";#N/A,#N/A,TRUE,"-3";#N/A,#N/A,TRUE,"-4";#N/A,#N/A,TRUE,"5-1";#N/A,#N/A,TRUE,"5-2";#N/A,#N/A,TRUE,"6-1";#N/A,#N/A,TRUE,"6-2";#N/A,#N/A,TRUE,"7-1";#N/A,#N/A,TRUE,"7-2";#N/A,#N/A,TRUE,"8.";#N/A,#N/A,TRUE,"9."}</definedName>
    <definedName name="_____AAA2" hidden="1">{#N/A,#N/A,TRUE,"목차";#N/A,#N/A,TRUE,"1.";#N/A,#N/A,TRUE,"2.";#N/A,#N/A,TRUE,"3.";#N/A,#N/A,TRUE,"4-1";#N/A,#N/A,TRUE,"-2";#N/A,#N/A,TRUE,"-3";#N/A,#N/A,TRUE,"-4";#N/A,#N/A,TRUE,"5-1";#N/A,#N/A,TRUE,"5-2";#N/A,#N/A,TRUE,"6-1";#N/A,#N/A,TRUE,"6-2";#N/A,#N/A,TRUE,"7-1";#N/A,#N/A,TRUE,"7-2";#N/A,#N/A,TRUE,"8.";#N/A,#N/A,TRUE,"9."}</definedName>
    <definedName name="_____D1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DAT2" hidden="1">{#N/A,#N/A,FALSE,"PRO_LV1"}</definedName>
    <definedName name="_____ddt1" hidden="1">{#N/A,#N/A,TRUE,"목차";#N/A,#N/A,TRUE,"1.";#N/A,#N/A,TRUE,"2.";#N/A,#N/A,TRUE,"3.";#N/A,#N/A,TRUE,"4-1";#N/A,#N/A,TRUE,"-2";#N/A,#N/A,TRUE,"-3";#N/A,#N/A,TRUE,"-4";#N/A,#N/A,TRUE,"5-1";#N/A,#N/A,TRUE,"5-2";#N/A,#N/A,TRUE,"6-1";#N/A,#N/A,TRUE,"6-2";#N/A,#N/A,TRUE,"7-1";#N/A,#N/A,TRUE,"7-2";#N/A,#N/A,TRUE,"8.";#N/A,#N/A,TRUE,"9."}</definedName>
    <definedName name="_____ffg12" hidden="1">{#N/A,#N/A,TRUE,"목차";#N/A,#N/A,TRUE,"1.";#N/A,#N/A,TRUE,"2.";#N/A,#N/A,TRUE,"3.";#N/A,#N/A,TRUE,"4-1";#N/A,#N/A,TRUE,"-2";#N/A,#N/A,TRUE,"-3";#N/A,#N/A,TRUE,"-4";#N/A,#N/A,TRUE,"5-1";#N/A,#N/A,TRUE,"5-2";#N/A,#N/A,TRUE,"6-1";#N/A,#N/A,TRUE,"6-2";#N/A,#N/A,TRUE,"7-1";#N/A,#N/A,TRUE,"7-2";#N/A,#N/A,TRUE,"8.";#N/A,#N/A,TRUE,"9."}</definedName>
    <definedName name="_____K33"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_LOT2" hidden="1">{#N/A,#N/A,TRUE,"목차";#N/A,#N/A,TRUE,"1.";#N/A,#N/A,TRUE,"2.";#N/A,#N/A,TRUE,"3.";#N/A,#N/A,TRUE,"4-1";#N/A,#N/A,TRUE,"-2";#N/A,#N/A,TRUE,"-3";#N/A,#N/A,TRUE,"-4";#N/A,#N/A,TRUE,"5-1";#N/A,#N/A,TRUE,"5-2";#N/A,#N/A,TRUE,"6-1";#N/A,#N/A,TRUE,"6-2";#N/A,#N/A,TRUE,"7-1";#N/A,#N/A,TRUE,"7-2";#N/A,#N/A,TRUE,"8.";#N/A,#N/A,TRUE,"9."}</definedName>
    <definedName name="_____MAP12" hidden="1">{#N/A,#N/A,TRUE,"LOADCOVE";#N/A,#N/A,TRUE,"PAGE001";#N/A,#N/A,TRUE,"PAGE002";#N/A,#N/A,TRUE,"PAGE003";#N/A,#N/A,TRUE,"PAGE004";#N/A,#N/A,TRUE,"PAGE005";#N/A,#N/A,TRUE,"PAGE006";#N/A,#N/A,TRUE,"PAGE007";#N/A,#N/A,TRUE,"PAGE008";#N/A,#N/A,TRUE,"PAGE009";#N/A,#N/A,TRUE,"PAGE010";#N/A,#N/A,TRUE,"PAGE011";#N/A,#N/A,TRUE,"PAGE012";#N/A,#N/A,TRUE,"PAGE013"}</definedName>
    <definedName name="_____out2" hidden="1">{#N/A,#N/A,TRUE,"목차";#N/A,#N/A,TRUE,"1.";#N/A,#N/A,TRUE,"2.";#N/A,#N/A,TRUE,"3.";#N/A,#N/A,TRUE,"4-1";#N/A,#N/A,TRUE,"-2";#N/A,#N/A,TRUE,"-3";#N/A,#N/A,TRUE,"-4";#N/A,#N/A,TRUE,"5-1";#N/A,#N/A,TRUE,"5-2";#N/A,#N/A,TRUE,"6-1";#N/A,#N/A,TRUE,"6-2";#N/A,#N/A,TRUE,"7-1";#N/A,#N/A,TRUE,"7-2";#N/A,#N/A,TRUE,"8.";#N/A,#N/A,TRUE,"9."}</definedName>
    <definedName name="_____OUT3" hidden="1">{#N/A,#N/A,TRUE,"목차";#N/A,#N/A,TRUE,"1.";#N/A,#N/A,TRUE,"2.";#N/A,#N/A,TRUE,"3.";#N/A,#N/A,TRUE,"4-1";#N/A,#N/A,TRUE,"-2";#N/A,#N/A,TRUE,"-3";#N/A,#N/A,TRUE,"-4";#N/A,#N/A,TRUE,"5-1";#N/A,#N/A,TRUE,"5-2";#N/A,#N/A,TRUE,"6-1";#N/A,#N/A,TRUE,"6-2";#N/A,#N/A,TRUE,"7-1";#N/A,#N/A,TRUE,"7-2";#N/A,#N/A,TRUE,"8.";#N/A,#N/A,TRUE,"9."}</definedName>
    <definedName name="_____OUT929" hidden="1">{#N/A,#N/A,TRUE,"목차";#N/A,#N/A,TRUE,"1.";#N/A,#N/A,TRUE,"2.";#N/A,#N/A,TRUE,"3.";#N/A,#N/A,TRUE,"4-1";#N/A,#N/A,TRUE,"-2";#N/A,#N/A,TRUE,"-3";#N/A,#N/A,TRUE,"-4";#N/A,#N/A,TRUE,"5-1";#N/A,#N/A,TRUE,"5-2";#N/A,#N/A,TRUE,"6-1";#N/A,#N/A,TRUE,"6-2";#N/A,#N/A,TRUE,"7-1";#N/A,#N/A,TRUE,"7-2";#N/A,#N/A,TRUE,"8.";#N/A,#N/A,TRUE,"9."}</definedName>
    <definedName name="_____PC2" hidden="1">{#N/A,#N/A,TRUE,"목차";#N/A,#N/A,TRUE,"1.";#N/A,#N/A,TRUE,"2.";#N/A,#N/A,TRUE,"3.";#N/A,#N/A,TRUE,"4-1";#N/A,#N/A,TRUE,"-2";#N/A,#N/A,TRUE,"-3";#N/A,#N/A,TRUE,"-4";#N/A,#N/A,TRUE,"5-1";#N/A,#N/A,TRUE,"5-2";#N/A,#N/A,TRUE,"6-1";#N/A,#N/A,TRUE,"6-2";#N/A,#N/A,TRUE,"7-1";#N/A,#N/A,TRUE,"7-2";#N/A,#N/A,TRUE,"8.";#N/A,#N/A,TRUE,"9."}</definedName>
    <definedName name="_____sh1" hidden="1">{#N/A,#N/A,TRUE,"목차";#N/A,#N/A,TRUE,"1.";#N/A,#N/A,TRUE,"2.";#N/A,#N/A,TRUE,"3.";#N/A,#N/A,TRUE,"4-1";#N/A,#N/A,TRUE,"-2";#N/A,#N/A,TRUE,"-3";#N/A,#N/A,TRUE,"-4";#N/A,#N/A,TRUE,"5-1";#N/A,#N/A,TRUE,"5-2";#N/A,#N/A,TRUE,"6-1";#N/A,#N/A,TRUE,"6-2";#N/A,#N/A,TRUE,"7-1";#N/A,#N/A,TRUE,"7-2";#N/A,#N/A,TRUE,"8.";#N/A,#N/A,TRUE,"9."}</definedName>
    <definedName name="_____T1" hidden="1">{#N/A,#N/A,TRUE,"목차";#N/A,#N/A,TRUE,"1.";#N/A,#N/A,TRUE,"2.";#N/A,#N/A,TRUE,"3.";#N/A,#N/A,TRUE,"4-1";#N/A,#N/A,TRUE,"-2";#N/A,#N/A,TRUE,"-3";#N/A,#N/A,TRUE,"-4";#N/A,#N/A,TRUE,"5-1";#N/A,#N/A,TRUE,"5-2";#N/A,#N/A,TRUE,"6-1";#N/A,#N/A,TRUE,"6-2";#N/A,#N/A,TRUE,"7-1";#N/A,#N/A,TRUE,"7-2";#N/A,#N/A,TRUE,"8.";#N/A,#N/A,TRUE,"9."}</definedName>
    <definedName name="_____xlfn.BAHTTEXT" hidden="1">#NAME?</definedName>
    <definedName name="____AAA1" hidden="1">{#N/A,#N/A,TRUE,"목차";#N/A,#N/A,TRUE,"1.";#N/A,#N/A,TRUE,"2.";#N/A,#N/A,TRUE,"3.";#N/A,#N/A,TRUE,"4-1";#N/A,#N/A,TRUE,"-2";#N/A,#N/A,TRUE,"-3";#N/A,#N/A,TRUE,"-4";#N/A,#N/A,TRUE,"5-1";#N/A,#N/A,TRUE,"5-2";#N/A,#N/A,TRUE,"6-1";#N/A,#N/A,TRUE,"6-2";#N/A,#N/A,TRUE,"7-1";#N/A,#N/A,TRUE,"7-2";#N/A,#N/A,TRUE,"8.";#N/A,#N/A,TRUE,"9."}</definedName>
    <definedName name="____AAA2" hidden="1">{#N/A,#N/A,TRUE,"목차";#N/A,#N/A,TRUE,"1.";#N/A,#N/A,TRUE,"2.";#N/A,#N/A,TRUE,"3.";#N/A,#N/A,TRUE,"4-1";#N/A,#N/A,TRUE,"-2";#N/A,#N/A,TRUE,"-3";#N/A,#N/A,TRUE,"-4";#N/A,#N/A,TRUE,"5-1";#N/A,#N/A,TRUE,"5-2";#N/A,#N/A,TRUE,"6-1";#N/A,#N/A,TRUE,"6-2";#N/A,#N/A,TRUE,"7-1";#N/A,#N/A,TRUE,"7-2";#N/A,#N/A,TRUE,"8.";#N/A,#N/A,TRUE,"9."}</definedName>
    <definedName name="____AP2" hidden="1">{#N/A,#N/A,TRUE,"LOADCOVE";#N/A,#N/A,TRUE,"PAGE001";#N/A,#N/A,TRUE,"PAGE002";#N/A,#N/A,TRUE,"PAGE003";#N/A,#N/A,TRUE,"PAGE004";#N/A,#N/A,TRUE,"PAGE005";#N/A,#N/A,TRUE,"PAGE006";#N/A,#N/A,TRUE,"PAGE007";#N/A,#N/A,TRUE,"PAGE008";#N/A,#N/A,TRUE,"PAGE009";#N/A,#N/A,TRUE,"PAGE010";#N/A,#N/A,TRUE,"PAGE011";#N/A,#N/A,TRUE,"PAGE012";#N/A,#N/A,TRUE,"PAGE013"}</definedName>
    <definedName name="____D1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ddt1" hidden="1">{#N/A,#N/A,TRUE,"목차";#N/A,#N/A,TRUE,"1.";#N/A,#N/A,TRUE,"2.";#N/A,#N/A,TRUE,"3.";#N/A,#N/A,TRUE,"4-1";#N/A,#N/A,TRUE,"-2";#N/A,#N/A,TRUE,"-3";#N/A,#N/A,TRUE,"-4";#N/A,#N/A,TRUE,"5-1";#N/A,#N/A,TRUE,"5-2";#N/A,#N/A,TRUE,"6-1";#N/A,#N/A,TRUE,"6-2";#N/A,#N/A,TRUE,"7-1";#N/A,#N/A,TRUE,"7-2";#N/A,#N/A,TRUE,"8.";#N/A,#N/A,TRUE,"9."}</definedName>
    <definedName name="____dt1" hidden="1">{#N/A,#N/A,TRUE,"목차";#N/A,#N/A,TRUE,"1.";#N/A,#N/A,TRUE,"2.";#N/A,#N/A,TRUE,"3.";#N/A,#N/A,TRUE,"4-1";#N/A,#N/A,TRUE,"-2";#N/A,#N/A,TRUE,"-3";#N/A,#N/A,TRUE,"-4";#N/A,#N/A,TRUE,"5-1";#N/A,#N/A,TRUE,"5-2";#N/A,#N/A,TRUE,"6-1";#N/A,#N/A,TRUE,"6-2";#N/A,#N/A,TRUE,"7-1";#N/A,#N/A,TRUE,"7-2";#N/A,#N/A,TRUE,"8.";#N/A,#N/A,TRUE,"9."}</definedName>
    <definedName name="____el55" hidden="1">{#N/A,#N/A,TRUE,"목차";#N/A,#N/A,TRUE,"1.";#N/A,#N/A,TRUE,"2.";#N/A,#N/A,TRUE,"3.";#N/A,#N/A,TRUE,"4-1";#N/A,#N/A,TRUE,"-2";#N/A,#N/A,TRUE,"-3";#N/A,#N/A,TRUE,"-4";#N/A,#N/A,TRUE,"5-1";#N/A,#N/A,TRUE,"5-2";#N/A,#N/A,TRUE,"6-1";#N/A,#N/A,TRUE,"6-2";#N/A,#N/A,TRUE,"7-1";#N/A,#N/A,TRUE,"7-2";#N/A,#N/A,TRUE,"8.";#N/A,#N/A,TRUE,"9."}</definedName>
    <definedName name="____el68" hidden="1">{#N/A,#N/A,TRUE,"목차";#N/A,#N/A,TRUE,"1.";#N/A,#N/A,TRUE,"2.";#N/A,#N/A,TRUE,"3.";#N/A,#N/A,TRUE,"4-1";#N/A,#N/A,TRUE,"-2";#N/A,#N/A,TRUE,"-3";#N/A,#N/A,TRUE,"-4";#N/A,#N/A,TRUE,"5-1";#N/A,#N/A,TRUE,"5-2";#N/A,#N/A,TRUE,"6-1";#N/A,#N/A,TRUE,"6-2";#N/A,#N/A,TRUE,"7-1";#N/A,#N/A,TRUE,"7-2";#N/A,#N/A,TRUE,"8.";#N/A,#N/A,TRUE,"9."}</definedName>
    <definedName name="____ffg12" hidden="1">{#N/A,#N/A,TRUE,"목차";#N/A,#N/A,TRUE,"1.";#N/A,#N/A,TRUE,"2.";#N/A,#N/A,TRUE,"3.";#N/A,#N/A,TRUE,"4-1";#N/A,#N/A,TRUE,"-2";#N/A,#N/A,TRUE,"-3";#N/A,#N/A,TRUE,"-4";#N/A,#N/A,TRUE,"5-1";#N/A,#N/A,TRUE,"5-2";#N/A,#N/A,TRUE,"6-1";#N/A,#N/A,TRUE,"6-2";#N/A,#N/A,TRUE,"7-1";#N/A,#N/A,TRUE,"7-2";#N/A,#N/A,TRUE,"8.";#N/A,#N/A,TRUE,"9."}</definedName>
    <definedName name="____jk2" hidden="1">{#N/A,#N/A,FALSE,"부서종합";#N/A,#N/A,FALSE,"DISC종합";#N/A,#N/A,FALSE,"생산1과";#N/A,#N/A,FALSE,"생산2과";#N/A,#N/A,FALSE,"전기계장";#N/A,#N/A,FALSE,"기계";#N/A,#N/A,FALSE,"철의장";#N/A,#N/A,FALSE,"거주구";#N/A,#N/A,FALSE,"HVAC"}</definedName>
    <definedName name="____jk4" hidden="1">{#N/A,#N/A,FALSE,"부서종합";#N/A,#N/A,FALSE,"DISC종합";#N/A,#N/A,FALSE,"생산1과";#N/A,#N/A,FALSE,"생산2과";#N/A,#N/A,FALSE,"전기계장";#N/A,#N/A,FALSE,"기계";#N/A,#N/A,FALSE,"철의장";#N/A,#N/A,FALSE,"거주구";#N/A,#N/A,FALSE,"HVAC"}</definedName>
    <definedName name="____K33"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_LOT2" hidden="1">{#N/A,#N/A,TRUE,"목차";#N/A,#N/A,TRUE,"1.";#N/A,#N/A,TRUE,"2.";#N/A,#N/A,TRUE,"3.";#N/A,#N/A,TRUE,"4-1";#N/A,#N/A,TRUE,"-2";#N/A,#N/A,TRUE,"-3";#N/A,#N/A,TRUE,"-4";#N/A,#N/A,TRUE,"5-1";#N/A,#N/A,TRUE,"5-2";#N/A,#N/A,TRUE,"6-1";#N/A,#N/A,TRUE,"6-2";#N/A,#N/A,TRUE,"7-1";#N/A,#N/A,TRUE,"7-2";#N/A,#N/A,TRUE,"8.";#N/A,#N/A,TRUE,"9."}</definedName>
    <definedName name="____MAP12" hidden="1">{#N/A,#N/A,TRUE,"LOADCOVE";#N/A,#N/A,TRUE,"PAGE001";#N/A,#N/A,TRUE,"PAGE002";#N/A,#N/A,TRUE,"PAGE003";#N/A,#N/A,TRUE,"PAGE004";#N/A,#N/A,TRUE,"PAGE005";#N/A,#N/A,TRUE,"PAGE006";#N/A,#N/A,TRUE,"PAGE007";#N/A,#N/A,TRUE,"PAGE008";#N/A,#N/A,TRUE,"PAGE009";#N/A,#N/A,TRUE,"PAGE010";#N/A,#N/A,TRUE,"PAGE011";#N/A,#N/A,TRUE,"PAGE012";#N/A,#N/A,TRUE,"PAGE013"}</definedName>
    <definedName name="____out2" hidden="1">{#N/A,#N/A,TRUE,"목차";#N/A,#N/A,TRUE,"1.";#N/A,#N/A,TRUE,"2.";#N/A,#N/A,TRUE,"3.";#N/A,#N/A,TRUE,"4-1";#N/A,#N/A,TRUE,"-2";#N/A,#N/A,TRUE,"-3";#N/A,#N/A,TRUE,"-4";#N/A,#N/A,TRUE,"5-1";#N/A,#N/A,TRUE,"5-2";#N/A,#N/A,TRUE,"6-1";#N/A,#N/A,TRUE,"6-2";#N/A,#N/A,TRUE,"7-1";#N/A,#N/A,TRUE,"7-2";#N/A,#N/A,TRUE,"8.";#N/A,#N/A,TRUE,"9."}</definedName>
    <definedName name="____OUT3" hidden="1">{#N/A,#N/A,TRUE,"목차";#N/A,#N/A,TRUE,"1.";#N/A,#N/A,TRUE,"2.";#N/A,#N/A,TRUE,"3.";#N/A,#N/A,TRUE,"4-1";#N/A,#N/A,TRUE,"-2";#N/A,#N/A,TRUE,"-3";#N/A,#N/A,TRUE,"-4";#N/A,#N/A,TRUE,"5-1";#N/A,#N/A,TRUE,"5-2";#N/A,#N/A,TRUE,"6-1";#N/A,#N/A,TRUE,"6-2";#N/A,#N/A,TRUE,"7-1";#N/A,#N/A,TRUE,"7-2";#N/A,#N/A,TRUE,"8.";#N/A,#N/A,TRUE,"9."}</definedName>
    <definedName name="____OUT929" hidden="1">{#N/A,#N/A,TRUE,"목차";#N/A,#N/A,TRUE,"1.";#N/A,#N/A,TRUE,"2.";#N/A,#N/A,TRUE,"3.";#N/A,#N/A,TRUE,"4-1";#N/A,#N/A,TRUE,"-2";#N/A,#N/A,TRUE,"-3";#N/A,#N/A,TRUE,"-4";#N/A,#N/A,TRUE,"5-1";#N/A,#N/A,TRUE,"5-2";#N/A,#N/A,TRUE,"6-1";#N/A,#N/A,TRUE,"6-2";#N/A,#N/A,TRUE,"7-1";#N/A,#N/A,TRUE,"7-2";#N/A,#N/A,TRUE,"8.";#N/A,#N/A,TRUE,"9."}</definedName>
    <definedName name="____PC2" hidden="1">{#N/A,#N/A,TRUE,"목차";#N/A,#N/A,TRUE,"1.";#N/A,#N/A,TRUE,"2.";#N/A,#N/A,TRUE,"3.";#N/A,#N/A,TRUE,"4-1";#N/A,#N/A,TRUE,"-2";#N/A,#N/A,TRUE,"-3";#N/A,#N/A,TRUE,"-4";#N/A,#N/A,TRUE,"5-1";#N/A,#N/A,TRUE,"5-2";#N/A,#N/A,TRUE,"6-1";#N/A,#N/A,TRUE,"6-2";#N/A,#N/A,TRUE,"7-1";#N/A,#N/A,TRUE,"7-2";#N/A,#N/A,TRUE,"8.";#N/A,#N/A,TRUE,"9."}</definedName>
    <definedName name="____sh1" hidden="1">{#N/A,#N/A,TRUE,"목차";#N/A,#N/A,TRUE,"1.";#N/A,#N/A,TRUE,"2.";#N/A,#N/A,TRUE,"3.";#N/A,#N/A,TRUE,"4-1";#N/A,#N/A,TRUE,"-2";#N/A,#N/A,TRUE,"-3";#N/A,#N/A,TRUE,"-4";#N/A,#N/A,TRUE,"5-1";#N/A,#N/A,TRUE,"5-2";#N/A,#N/A,TRUE,"6-1";#N/A,#N/A,TRUE,"6-2";#N/A,#N/A,TRUE,"7-1";#N/A,#N/A,TRUE,"7-2";#N/A,#N/A,TRUE,"8.";#N/A,#N/A,TRUE,"9."}</definedName>
    <definedName name="____T1" hidden="1">{#N/A,#N/A,TRUE,"목차";#N/A,#N/A,TRUE,"1.";#N/A,#N/A,TRUE,"2.";#N/A,#N/A,TRUE,"3.";#N/A,#N/A,TRUE,"4-1";#N/A,#N/A,TRUE,"-2";#N/A,#N/A,TRUE,"-3";#N/A,#N/A,TRUE,"-4";#N/A,#N/A,TRUE,"5-1";#N/A,#N/A,TRUE,"5-2";#N/A,#N/A,TRUE,"6-1";#N/A,#N/A,TRUE,"6-2";#N/A,#N/A,TRUE,"7-1";#N/A,#N/A,TRUE,"7-2";#N/A,#N/A,TRUE,"8.";#N/A,#N/A,TRUE,"9."}</definedName>
    <definedName name="____xlfn.BAHTTEXT" hidden="1">#NAME?</definedName>
    <definedName name="___AAA1" hidden="1">{#N/A,#N/A,TRUE,"목차";#N/A,#N/A,TRUE,"1.";#N/A,#N/A,TRUE,"2.";#N/A,#N/A,TRUE,"3.";#N/A,#N/A,TRUE,"4-1";#N/A,#N/A,TRUE,"-2";#N/A,#N/A,TRUE,"-3";#N/A,#N/A,TRUE,"-4";#N/A,#N/A,TRUE,"5-1";#N/A,#N/A,TRUE,"5-2";#N/A,#N/A,TRUE,"6-1";#N/A,#N/A,TRUE,"6-2";#N/A,#N/A,TRUE,"7-1";#N/A,#N/A,TRUE,"7-2";#N/A,#N/A,TRUE,"8.";#N/A,#N/A,TRUE,"9."}</definedName>
    <definedName name="___AAA2" hidden="1">{#N/A,#N/A,TRUE,"목차";#N/A,#N/A,TRUE,"1.";#N/A,#N/A,TRUE,"2.";#N/A,#N/A,TRUE,"3.";#N/A,#N/A,TRUE,"4-1";#N/A,#N/A,TRUE,"-2";#N/A,#N/A,TRUE,"-3";#N/A,#N/A,TRUE,"-4";#N/A,#N/A,TRUE,"5-1";#N/A,#N/A,TRUE,"5-2";#N/A,#N/A,TRUE,"6-1";#N/A,#N/A,TRUE,"6-2";#N/A,#N/A,TRUE,"7-1";#N/A,#N/A,TRUE,"7-2";#N/A,#N/A,TRUE,"8.";#N/A,#N/A,TRUE,"9."}</definedName>
    <definedName name="___AP2" hidden="1">{#N/A,#N/A,TRUE,"LOADCOVE";#N/A,#N/A,TRUE,"PAGE001";#N/A,#N/A,TRUE,"PAGE002";#N/A,#N/A,TRUE,"PAGE003";#N/A,#N/A,TRUE,"PAGE004";#N/A,#N/A,TRUE,"PAGE005";#N/A,#N/A,TRUE,"PAGE006";#N/A,#N/A,TRUE,"PAGE007";#N/A,#N/A,TRUE,"PAGE008";#N/A,#N/A,TRUE,"PAGE009";#N/A,#N/A,TRUE,"PAGE010";#N/A,#N/A,TRUE,"PAGE011";#N/A,#N/A,TRUE,"PAGE012";#N/A,#N/A,TRUE,"PAGE013"}</definedName>
    <definedName name="___D1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DAT2" hidden="1">{#N/A,#N/A,FALSE,"PRO_LV1"}</definedName>
    <definedName name="___ddt1" hidden="1">{#N/A,#N/A,TRUE,"목차";#N/A,#N/A,TRUE,"1.";#N/A,#N/A,TRUE,"2.";#N/A,#N/A,TRUE,"3.";#N/A,#N/A,TRUE,"4-1";#N/A,#N/A,TRUE,"-2";#N/A,#N/A,TRUE,"-3";#N/A,#N/A,TRUE,"-4";#N/A,#N/A,TRUE,"5-1";#N/A,#N/A,TRUE,"5-2";#N/A,#N/A,TRUE,"6-1";#N/A,#N/A,TRUE,"6-2";#N/A,#N/A,TRUE,"7-1";#N/A,#N/A,TRUE,"7-2";#N/A,#N/A,TRUE,"8.";#N/A,#N/A,TRUE,"9."}</definedName>
    <definedName name="___dt1" hidden="1">{#N/A,#N/A,TRUE,"목차";#N/A,#N/A,TRUE,"1.";#N/A,#N/A,TRUE,"2.";#N/A,#N/A,TRUE,"3.";#N/A,#N/A,TRUE,"4-1";#N/A,#N/A,TRUE,"-2";#N/A,#N/A,TRUE,"-3";#N/A,#N/A,TRUE,"-4";#N/A,#N/A,TRUE,"5-1";#N/A,#N/A,TRUE,"5-2";#N/A,#N/A,TRUE,"6-1";#N/A,#N/A,TRUE,"6-2";#N/A,#N/A,TRUE,"7-1";#N/A,#N/A,TRUE,"7-2";#N/A,#N/A,TRUE,"8.";#N/A,#N/A,TRUE,"9."}</definedName>
    <definedName name="___el55" hidden="1">{#N/A,#N/A,TRUE,"목차";#N/A,#N/A,TRUE,"1.";#N/A,#N/A,TRUE,"2.";#N/A,#N/A,TRUE,"3.";#N/A,#N/A,TRUE,"4-1";#N/A,#N/A,TRUE,"-2";#N/A,#N/A,TRUE,"-3";#N/A,#N/A,TRUE,"-4";#N/A,#N/A,TRUE,"5-1";#N/A,#N/A,TRUE,"5-2";#N/A,#N/A,TRUE,"6-1";#N/A,#N/A,TRUE,"6-2";#N/A,#N/A,TRUE,"7-1";#N/A,#N/A,TRUE,"7-2";#N/A,#N/A,TRUE,"8.";#N/A,#N/A,TRUE,"9."}</definedName>
    <definedName name="___el68" hidden="1">{#N/A,#N/A,TRUE,"목차";#N/A,#N/A,TRUE,"1.";#N/A,#N/A,TRUE,"2.";#N/A,#N/A,TRUE,"3.";#N/A,#N/A,TRUE,"4-1";#N/A,#N/A,TRUE,"-2";#N/A,#N/A,TRUE,"-3";#N/A,#N/A,TRUE,"-4";#N/A,#N/A,TRUE,"5-1";#N/A,#N/A,TRUE,"5-2";#N/A,#N/A,TRUE,"6-1";#N/A,#N/A,TRUE,"6-2";#N/A,#N/A,TRUE,"7-1";#N/A,#N/A,TRUE,"7-2";#N/A,#N/A,TRUE,"8.";#N/A,#N/A,TRUE,"9."}</definedName>
    <definedName name="___ffg12" hidden="1">{#N/A,#N/A,TRUE,"목차";#N/A,#N/A,TRUE,"1.";#N/A,#N/A,TRUE,"2.";#N/A,#N/A,TRUE,"3.";#N/A,#N/A,TRUE,"4-1";#N/A,#N/A,TRUE,"-2";#N/A,#N/A,TRUE,"-3";#N/A,#N/A,TRUE,"-4";#N/A,#N/A,TRUE,"5-1";#N/A,#N/A,TRUE,"5-2";#N/A,#N/A,TRUE,"6-1";#N/A,#N/A,TRUE,"6-2";#N/A,#N/A,TRUE,"7-1";#N/A,#N/A,TRUE,"7-2";#N/A,#N/A,TRUE,"8.";#N/A,#N/A,TRUE,"9."}</definedName>
    <definedName name="___jk2" hidden="1">{#N/A,#N/A,FALSE,"부서종합";#N/A,#N/A,FALSE,"DISC종합";#N/A,#N/A,FALSE,"생산1과";#N/A,#N/A,FALSE,"생산2과";#N/A,#N/A,FALSE,"전기계장";#N/A,#N/A,FALSE,"기계";#N/A,#N/A,FALSE,"철의장";#N/A,#N/A,FALSE,"거주구";#N/A,#N/A,FALSE,"HVAC"}</definedName>
    <definedName name="___jk4" hidden="1">{#N/A,#N/A,FALSE,"부서종합";#N/A,#N/A,FALSE,"DISC종합";#N/A,#N/A,FALSE,"생산1과";#N/A,#N/A,FALSE,"생산2과";#N/A,#N/A,FALSE,"전기계장";#N/A,#N/A,FALSE,"기계";#N/A,#N/A,FALSE,"철의장";#N/A,#N/A,FALSE,"거주구";#N/A,#N/A,FALSE,"HVAC"}</definedName>
    <definedName name="___K33"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___KOC101" hidden="1">{"Edition",#N/A,FALSE,"Data"}</definedName>
    <definedName name="___LOT2" hidden="1">{#N/A,#N/A,TRUE,"목차";#N/A,#N/A,TRUE,"1.";#N/A,#N/A,TRUE,"2.";#N/A,#N/A,TRUE,"3.";#N/A,#N/A,TRUE,"4-1";#N/A,#N/A,TRUE,"-2";#N/A,#N/A,TRUE,"-3";#N/A,#N/A,TRUE,"-4";#N/A,#N/A,TRUE,"5-1";#N/A,#N/A,TRUE,"5-2";#N/A,#N/A,TRUE,"6-1";#N/A,#N/A,TRUE,"6-2";#N/A,#N/A,TRUE,"7-1";#N/A,#N/A,TRUE,"7-2";#N/A,#N/A,TRUE,"8.";#N/A,#N/A,TRUE,"9."}</definedName>
    <definedName name="___MAP12" hidden="1">{#N/A,#N/A,TRUE,"LOADCOVE";#N/A,#N/A,TRUE,"PAGE001";#N/A,#N/A,TRUE,"PAGE002";#N/A,#N/A,TRUE,"PAGE003";#N/A,#N/A,TRUE,"PAGE004";#N/A,#N/A,TRUE,"PAGE005";#N/A,#N/A,TRUE,"PAGE006";#N/A,#N/A,TRUE,"PAGE007";#N/A,#N/A,TRUE,"PAGE008";#N/A,#N/A,TRUE,"PAGE009";#N/A,#N/A,TRUE,"PAGE010";#N/A,#N/A,TRUE,"PAGE011";#N/A,#N/A,TRUE,"PAGE012";#N/A,#N/A,TRUE,"PAGE013"}</definedName>
    <definedName name="___out2" hidden="1">{#N/A,#N/A,TRUE,"목차";#N/A,#N/A,TRUE,"1.";#N/A,#N/A,TRUE,"2.";#N/A,#N/A,TRUE,"3.";#N/A,#N/A,TRUE,"4-1";#N/A,#N/A,TRUE,"-2";#N/A,#N/A,TRUE,"-3";#N/A,#N/A,TRUE,"-4";#N/A,#N/A,TRUE,"5-1";#N/A,#N/A,TRUE,"5-2";#N/A,#N/A,TRUE,"6-1";#N/A,#N/A,TRUE,"6-2";#N/A,#N/A,TRUE,"7-1";#N/A,#N/A,TRUE,"7-2";#N/A,#N/A,TRUE,"8.";#N/A,#N/A,TRUE,"9."}</definedName>
    <definedName name="___OUT3" hidden="1">{#N/A,#N/A,TRUE,"목차";#N/A,#N/A,TRUE,"1.";#N/A,#N/A,TRUE,"2.";#N/A,#N/A,TRUE,"3.";#N/A,#N/A,TRUE,"4-1";#N/A,#N/A,TRUE,"-2";#N/A,#N/A,TRUE,"-3";#N/A,#N/A,TRUE,"-4";#N/A,#N/A,TRUE,"5-1";#N/A,#N/A,TRUE,"5-2";#N/A,#N/A,TRUE,"6-1";#N/A,#N/A,TRUE,"6-2";#N/A,#N/A,TRUE,"7-1";#N/A,#N/A,TRUE,"7-2";#N/A,#N/A,TRUE,"8.";#N/A,#N/A,TRUE,"9."}</definedName>
    <definedName name="___OUT929" hidden="1">{#N/A,#N/A,TRUE,"목차";#N/A,#N/A,TRUE,"1.";#N/A,#N/A,TRUE,"2.";#N/A,#N/A,TRUE,"3.";#N/A,#N/A,TRUE,"4-1";#N/A,#N/A,TRUE,"-2";#N/A,#N/A,TRUE,"-3";#N/A,#N/A,TRUE,"-4";#N/A,#N/A,TRUE,"5-1";#N/A,#N/A,TRUE,"5-2";#N/A,#N/A,TRUE,"6-1";#N/A,#N/A,TRUE,"6-2";#N/A,#N/A,TRUE,"7-1";#N/A,#N/A,TRUE,"7-2";#N/A,#N/A,TRUE,"8.";#N/A,#N/A,TRUE,"9."}</definedName>
    <definedName name="___PC2" hidden="1">{#N/A,#N/A,TRUE,"목차";#N/A,#N/A,TRUE,"1.";#N/A,#N/A,TRUE,"2.";#N/A,#N/A,TRUE,"3.";#N/A,#N/A,TRUE,"4-1";#N/A,#N/A,TRUE,"-2";#N/A,#N/A,TRUE,"-3";#N/A,#N/A,TRUE,"-4";#N/A,#N/A,TRUE,"5-1";#N/A,#N/A,TRUE,"5-2";#N/A,#N/A,TRUE,"6-1";#N/A,#N/A,TRUE,"6-2";#N/A,#N/A,TRUE,"7-1";#N/A,#N/A,TRUE,"7-2";#N/A,#N/A,TRUE,"8.";#N/A,#N/A,TRUE,"9."}</definedName>
    <definedName name="___sh1" hidden="1">{#N/A,#N/A,TRUE,"목차";#N/A,#N/A,TRUE,"1.";#N/A,#N/A,TRUE,"2.";#N/A,#N/A,TRUE,"3.";#N/A,#N/A,TRUE,"4-1";#N/A,#N/A,TRUE,"-2";#N/A,#N/A,TRUE,"-3";#N/A,#N/A,TRUE,"-4";#N/A,#N/A,TRUE,"5-1";#N/A,#N/A,TRUE,"5-2";#N/A,#N/A,TRUE,"6-1";#N/A,#N/A,TRUE,"6-2";#N/A,#N/A,TRUE,"7-1";#N/A,#N/A,TRUE,"7-2";#N/A,#N/A,TRUE,"8.";#N/A,#N/A,TRUE,"9."}</definedName>
    <definedName name="___T1" hidden="1">{#N/A,#N/A,TRUE,"목차";#N/A,#N/A,TRUE,"1.";#N/A,#N/A,TRUE,"2.";#N/A,#N/A,TRUE,"3.";#N/A,#N/A,TRUE,"4-1";#N/A,#N/A,TRUE,"-2";#N/A,#N/A,TRUE,"-3";#N/A,#N/A,TRUE,"-4";#N/A,#N/A,TRUE,"5-1";#N/A,#N/A,TRUE,"5-2";#N/A,#N/A,TRUE,"6-1";#N/A,#N/A,TRUE,"6-2";#N/A,#N/A,TRUE,"7-1";#N/A,#N/A,TRUE,"7-2";#N/A,#N/A,TRUE,"8.";#N/A,#N/A,TRUE,"9."}</definedName>
    <definedName name="___w123" hidden="1">{"Edition",#N/A,FALSE,"Data"}</definedName>
    <definedName name="___wv1" hidden="1">{"'장비'!$A$3:$M$12"}</definedName>
    <definedName name="___xlfn.BAHTTEXT" hidden="1">#NAME?</definedName>
    <definedName name="__123Graph_A" hidden="1">#REF!</definedName>
    <definedName name="__123Graph_B" hidden="1">#REF!</definedName>
    <definedName name="__123Graph_C" hidden="1">#REF!</definedName>
    <definedName name="__123Graph_D" hidden="1">#REF!</definedName>
    <definedName name="__123Graph_E" hidden="1">#REF!</definedName>
    <definedName name="__123Graph_F" hidden="1">#REF!</definedName>
    <definedName name="__123Graph_LBL_A" hidden="1">#REF!</definedName>
    <definedName name="__123Graph_LBL_B" hidden="1">#REF!</definedName>
    <definedName name="__123Graph_LBL_C" hidden="1">#REF!</definedName>
    <definedName name="__123Graph_LBL_D" hidden="1">#REF!</definedName>
    <definedName name="__123Graph_LBL_E" hidden="1">#REF!</definedName>
    <definedName name="__123Graph_LBL_F" hidden="1">#REF!</definedName>
    <definedName name="__123Graph_X" hidden="1">#REF!</definedName>
    <definedName name="__6dt1_" hidden="1">{#N/A,#N/A,TRUE,"목차";#N/A,#N/A,TRUE,"1.";#N/A,#N/A,TRUE,"2.";#N/A,#N/A,TRUE,"3.";#N/A,#N/A,TRUE,"4-1";#N/A,#N/A,TRUE,"-2";#N/A,#N/A,TRUE,"-3";#N/A,#N/A,TRUE,"-4";#N/A,#N/A,TRUE,"5-1";#N/A,#N/A,TRUE,"5-2";#N/A,#N/A,TRUE,"6-1";#N/A,#N/A,TRUE,"6-2";#N/A,#N/A,TRUE,"7-1";#N/A,#N/A,TRUE,"7-2";#N/A,#N/A,TRUE,"8.";#N/A,#N/A,TRUE,"9."}</definedName>
    <definedName name="__7el55_" hidden="1">{#N/A,#N/A,TRUE,"목차";#N/A,#N/A,TRUE,"1.";#N/A,#N/A,TRUE,"2.";#N/A,#N/A,TRUE,"3.";#N/A,#N/A,TRUE,"4-1";#N/A,#N/A,TRUE,"-2";#N/A,#N/A,TRUE,"-3";#N/A,#N/A,TRUE,"-4";#N/A,#N/A,TRUE,"5-1";#N/A,#N/A,TRUE,"5-2";#N/A,#N/A,TRUE,"6-1";#N/A,#N/A,TRUE,"6-2";#N/A,#N/A,TRUE,"7-1";#N/A,#N/A,TRUE,"7-2";#N/A,#N/A,TRUE,"8.";#N/A,#N/A,TRUE,"9."}</definedName>
    <definedName name="__8el68_" hidden="1">{#N/A,#N/A,TRUE,"목차";#N/A,#N/A,TRUE,"1.";#N/A,#N/A,TRUE,"2.";#N/A,#N/A,TRUE,"3.";#N/A,#N/A,TRUE,"4-1";#N/A,#N/A,TRUE,"-2";#N/A,#N/A,TRUE,"-3";#N/A,#N/A,TRUE,"-4";#N/A,#N/A,TRUE,"5-1";#N/A,#N/A,TRUE,"5-2";#N/A,#N/A,TRUE,"6-1";#N/A,#N/A,TRUE,"6-2";#N/A,#N/A,TRUE,"7-1";#N/A,#N/A,TRUE,"7-2";#N/A,#N/A,TRUE,"8.";#N/A,#N/A,TRUE,"9."}</definedName>
    <definedName name="__9k1_" hidden="1">{#N/A,#N/A,TRUE,"목차";#N/A,#N/A,TRUE,"1.";#N/A,#N/A,TRUE,"2.";#N/A,#N/A,TRUE,"3.";#N/A,#N/A,TRUE,"4-1";#N/A,#N/A,TRUE,"-2";#N/A,#N/A,TRUE,"-3";#N/A,#N/A,TRUE,"-4";#N/A,#N/A,TRUE,"5-1";#N/A,#N/A,TRUE,"5-2";#N/A,#N/A,TRUE,"6-1";#N/A,#N/A,TRUE,"6-2";#N/A,#N/A,TRUE,"7-1";#N/A,#N/A,TRUE,"7-2";#N/A,#N/A,TRUE,"8.";#N/A,#N/A,TRUE,"9."}</definedName>
    <definedName name="__a10" hidden="1">{#N/A,#N/A,TRUE,"목차";#N/A,#N/A,TRUE,"1.";#N/A,#N/A,TRUE,"2.";#N/A,#N/A,TRUE,"3.";#N/A,#N/A,TRUE,"4-1";#N/A,#N/A,TRUE,"-2";#N/A,#N/A,TRUE,"-3";#N/A,#N/A,TRUE,"-4";#N/A,#N/A,TRUE,"5-1";#N/A,#N/A,TRUE,"5-2";#N/A,#N/A,TRUE,"6-1";#N/A,#N/A,TRUE,"6-2";#N/A,#N/A,TRUE,"7-1";#N/A,#N/A,TRUE,"7-2";#N/A,#N/A,TRUE,"8.";#N/A,#N/A,TRUE,"9."}</definedName>
    <definedName name="__a11" hidden="1">{#N/A,#N/A,TRUE,"목차";#N/A,#N/A,TRUE,"1.";#N/A,#N/A,TRUE,"2.";#N/A,#N/A,TRUE,"3.";#N/A,#N/A,TRUE,"4-1";#N/A,#N/A,TRUE,"-2";#N/A,#N/A,TRUE,"-3";#N/A,#N/A,TRUE,"-4";#N/A,#N/A,TRUE,"5-1";#N/A,#N/A,TRUE,"5-2";#N/A,#N/A,TRUE,"6-1";#N/A,#N/A,TRUE,"6-2";#N/A,#N/A,TRUE,"7-1";#N/A,#N/A,TRUE,"7-2";#N/A,#N/A,TRUE,"8.";#N/A,#N/A,TRUE,"9."}</definedName>
    <definedName name="__A111" hidden="1">{#N/A,#N/A,TRUE,"목차";#N/A,#N/A,TRUE,"1.";#N/A,#N/A,TRUE,"2.";#N/A,#N/A,TRUE,"3.";#N/A,#N/A,TRUE,"4-1";#N/A,#N/A,TRUE,"-2";#N/A,#N/A,TRUE,"-3";#N/A,#N/A,TRUE,"-4";#N/A,#N/A,TRUE,"5-1";#N/A,#N/A,TRUE,"5-2";#N/A,#N/A,TRUE,"6-1";#N/A,#N/A,TRUE,"6-2";#N/A,#N/A,TRUE,"7-1";#N/A,#N/A,TRUE,"7-2";#N/A,#N/A,TRUE,"8.";#N/A,#N/A,TRUE,"9."}</definedName>
    <definedName name="__A112" hidden="1">{#N/A,#N/A,TRUE,"목차";#N/A,#N/A,TRUE,"1.";#N/A,#N/A,TRUE,"2.";#N/A,#N/A,TRUE,"3.";#N/A,#N/A,TRUE,"4-1";#N/A,#N/A,TRUE,"-2";#N/A,#N/A,TRUE,"-3";#N/A,#N/A,TRUE,"-4";#N/A,#N/A,TRUE,"5-1";#N/A,#N/A,TRUE,"5-2";#N/A,#N/A,TRUE,"6-1";#N/A,#N/A,TRUE,"6-2";#N/A,#N/A,TRUE,"7-1";#N/A,#N/A,TRUE,"7-2";#N/A,#N/A,TRUE,"8.";#N/A,#N/A,TRUE,"9."}</definedName>
    <definedName name="__A113" hidden="1">{#N/A,#N/A,TRUE,"목차";#N/A,#N/A,TRUE,"1.";#N/A,#N/A,TRUE,"2.";#N/A,#N/A,TRUE,"3.";#N/A,#N/A,TRUE,"4-1";#N/A,#N/A,TRUE,"-2";#N/A,#N/A,TRUE,"-3";#N/A,#N/A,TRUE,"-4";#N/A,#N/A,TRUE,"5-1";#N/A,#N/A,TRUE,"5-2";#N/A,#N/A,TRUE,"6-1";#N/A,#N/A,TRUE,"6-2";#N/A,#N/A,TRUE,"7-1";#N/A,#N/A,TRUE,"7-2";#N/A,#N/A,TRUE,"8.";#N/A,#N/A,TRUE,"9."}</definedName>
    <definedName name="__A114" hidden="1">{#N/A,#N/A,TRUE,"목차";#N/A,#N/A,TRUE,"1.";#N/A,#N/A,TRUE,"2.";#N/A,#N/A,TRUE,"3.";#N/A,#N/A,TRUE,"4-1";#N/A,#N/A,TRUE,"-2";#N/A,#N/A,TRUE,"-3";#N/A,#N/A,TRUE,"-4";#N/A,#N/A,TRUE,"5-1";#N/A,#N/A,TRUE,"5-2";#N/A,#N/A,TRUE,"6-1";#N/A,#N/A,TRUE,"6-2";#N/A,#N/A,TRUE,"7-1";#N/A,#N/A,TRUE,"7-2";#N/A,#N/A,TRUE,"8.";#N/A,#N/A,TRUE,"9."}</definedName>
    <definedName name="__A115" hidden="1">{#N/A,#N/A,TRUE,"목차";#N/A,#N/A,TRUE,"1.";#N/A,#N/A,TRUE,"2.";#N/A,#N/A,TRUE,"3.";#N/A,#N/A,TRUE,"4-1";#N/A,#N/A,TRUE,"-2";#N/A,#N/A,TRUE,"-3";#N/A,#N/A,TRUE,"-4";#N/A,#N/A,TRUE,"5-1";#N/A,#N/A,TRUE,"5-2";#N/A,#N/A,TRUE,"6-1";#N/A,#N/A,TRUE,"6-2";#N/A,#N/A,TRUE,"7-1";#N/A,#N/A,TRUE,"7-2";#N/A,#N/A,TRUE,"8.";#N/A,#N/A,TRUE,"9."}</definedName>
    <definedName name="__a12" hidden="1">{#N/A,#N/A,TRUE,"목차";#N/A,#N/A,TRUE,"1.";#N/A,#N/A,TRUE,"2.";#N/A,#N/A,TRUE,"3.";#N/A,#N/A,TRUE,"4-1";#N/A,#N/A,TRUE,"-2";#N/A,#N/A,TRUE,"-3";#N/A,#N/A,TRUE,"-4";#N/A,#N/A,TRUE,"5-1";#N/A,#N/A,TRUE,"5-2";#N/A,#N/A,TRUE,"6-1";#N/A,#N/A,TRUE,"6-2";#N/A,#N/A,TRUE,"7-1";#N/A,#N/A,TRUE,"7-2";#N/A,#N/A,TRUE,"8.";#N/A,#N/A,TRUE,"9."}</definedName>
    <definedName name="__a14" hidden="1">{#N/A,#N/A,TRUE,"목차";#N/A,#N/A,TRUE,"1.";#N/A,#N/A,TRUE,"2.";#N/A,#N/A,TRUE,"3.";#N/A,#N/A,TRUE,"4-1";#N/A,#N/A,TRUE,"-2";#N/A,#N/A,TRUE,"-3";#N/A,#N/A,TRUE,"-4";#N/A,#N/A,TRUE,"5-1";#N/A,#N/A,TRUE,"5-2";#N/A,#N/A,TRUE,"6-1";#N/A,#N/A,TRUE,"6-2";#N/A,#N/A,TRUE,"7-1";#N/A,#N/A,TRUE,"7-2";#N/A,#N/A,TRUE,"8.";#N/A,#N/A,TRUE,"9."}</definedName>
    <definedName name="__a15" hidden="1">{#N/A,#N/A,TRUE,"목차";#N/A,#N/A,TRUE,"1.";#N/A,#N/A,TRUE,"2.";#N/A,#N/A,TRUE,"3.";#N/A,#N/A,TRUE,"4-1";#N/A,#N/A,TRUE,"-2";#N/A,#N/A,TRUE,"-3";#N/A,#N/A,TRUE,"-4";#N/A,#N/A,TRUE,"5-1";#N/A,#N/A,TRUE,"5-2";#N/A,#N/A,TRUE,"6-1";#N/A,#N/A,TRUE,"6-2";#N/A,#N/A,TRUE,"7-1";#N/A,#N/A,TRUE,"7-2";#N/A,#N/A,TRUE,"8.";#N/A,#N/A,TRUE,"9."}</definedName>
    <definedName name="__a16" hidden="1">{#N/A,#N/A,TRUE,"목차";#N/A,#N/A,TRUE,"1.";#N/A,#N/A,TRUE,"2.";#N/A,#N/A,TRUE,"3.";#N/A,#N/A,TRUE,"4-1";#N/A,#N/A,TRUE,"-2";#N/A,#N/A,TRUE,"-3";#N/A,#N/A,TRUE,"-4";#N/A,#N/A,TRUE,"5-1";#N/A,#N/A,TRUE,"5-2";#N/A,#N/A,TRUE,"6-1";#N/A,#N/A,TRUE,"6-2";#N/A,#N/A,TRUE,"7-1";#N/A,#N/A,TRUE,"7-2";#N/A,#N/A,TRUE,"8.";#N/A,#N/A,TRUE,"9."}</definedName>
    <definedName name="__a18" hidden="1">{#N/A,#N/A,TRUE,"목차";#N/A,#N/A,TRUE,"1.";#N/A,#N/A,TRUE,"2.";#N/A,#N/A,TRUE,"3.";#N/A,#N/A,TRUE,"4-1";#N/A,#N/A,TRUE,"-2";#N/A,#N/A,TRUE,"-3";#N/A,#N/A,TRUE,"-4";#N/A,#N/A,TRUE,"5-1";#N/A,#N/A,TRUE,"5-2";#N/A,#N/A,TRUE,"6-1";#N/A,#N/A,TRUE,"6-2";#N/A,#N/A,TRUE,"7-1";#N/A,#N/A,TRUE,"7-2";#N/A,#N/A,TRUE,"8.";#N/A,#N/A,TRUE,"9."}</definedName>
    <definedName name="__a19" hidden="1">{#N/A,#N/A,TRUE,"목차";#N/A,#N/A,TRUE,"1.";#N/A,#N/A,TRUE,"2.";#N/A,#N/A,TRUE,"3.";#N/A,#N/A,TRUE,"4-1";#N/A,#N/A,TRUE,"-2";#N/A,#N/A,TRUE,"-3";#N/A,#N/A,TRUE,"-4";#N/A,#N/A,TRUE,"5-1";#N/A,#N/A,TRUE,"5-2";#N/A,#N/A,TRUE,"6-1";#N/A,#N/A,TRUE,"6-2";#N/A,#N/A,TRUE,"7-1";#N/A,#N/A,TRUE,"7-2";#N/A,#N/A,TRUE,"8.";#N/A,#N/A,TRUE,"9."}</definedName>
    <definedName name="__A2" hidden="1">{#N/A,#N/A,TRUE,"목차";#N/A,#N/A,TRUE,"1.";#N/A,#N/A,TRUE,"2.";#N/A,#N/A,TRUE,"3.";#N/A,#N/A,TRUE,"4-1";#N/A,#N/A,TRUE,"-2";#N/A,#N/A,TRUE,"-3";#N/A,#N/A,TRUE,"-4";#N/A,#N/A,TRUE,"5-1";#N/A,#N/A,TRUE,"5-2";#N/A,#N/A,TRUE,"6-1";#N/A,#N/A,TRUE,"6-2";#N/A,#N/A,TRUE,"7-1";#N/A,#N/A,TRUE,"7-2";#N/A,#N/A,TRUE,"8.";#N/A,#N/A,TRUE,"9."}</definedName>
    <definedName name="__a20" hidden="1">{#N/A,#N/A,TRUE,"목차";#N/A,#N/A,TRUE,"1.";#N/A,#N/A,TRUE,"2.";#N/A,#N/A,TRUE,"3.";#N/A,#N/A,TRUE,"4-1";#N/A,#N/A,TRUE,"-2";#N/A,#N/A,TRUE,"-3";#N/A,#N/A,TRUE,"-4";#N/A,#N/A,TRUE,"5-1";#N/A,#N/A,TRUE,"5-2";#N/A,#N/A,TRUE,"6-1";#N/A,#N/A,TRUE,"6-2";#N/A,#N/A,TRUE,"7-1";#N/A,#N/A,TRUE,"7-2";#N/A,#N/A,TRUE,"8.";#N/A,#N/A,TRUE,"9."}</definedName>
    <definedName name="__a21" hidden="1">{#N/A,#N/A,TRUE,"목차";#N/A,#N/A,TRUE,"1.";#N/A,#N/A,TRUE,"2.";#N/A,#N/A,TRUE,"3.";#N/A,#N/A,TRUE,"4-1";#N/A,#N/A,TRUE,"-2";#N/A,#N/A,TRUE,"-3";#N/A,#N/A,TRUE,"-4";#N/A,#N/A,TRUE,"5-1";#N/A,#N/A,TRUE,"5-2";#N/A,#N/A,TRUE,"6-1";#N/A,#N/A,TRUE,"6-2";#N/A,#N/A,TRUE,"7-1";#N/A,#N/A,TRUE,"7-2";#N/A,#N/A,TRUE,"8.";#N/A,#N/A,TRUE,"9."}</definedName>
    <definedName name="__a24" hidden="1">{#N/A,#N/A,TRUE,"목차";#N/A,#N/A,TRUE,"1.";#N/A,#N/A,TRUE,"2.";#N/A,#N/A,TRUE,"3.";#N/A,#N/A,TRUE,"4-1";#N/A,#N/A,TRUE,"-2";#N/A,#N/A,TRUE,"-3";#N/A,#N/A,TRUE,"-4";#N/A,#N/A,TRUE,"5-1";#N/A,#N/A,TRUE,"5-2";#N/A,#N/A,TRUE,"6-1";#N/A,#N/A,TRUE,"6-2";#N/A,#N/A,TRUE,"7-1";#N/A,#N/A,TRUE,"7-2";#N/A,#N/A,TRUE,"8.";#N/A,#N/A,TRUE,"9."}</definedName>
    <definedName name="__a25" hidden="1">{#N/A,#N/A,TRUE,"목차";#N/A,#N/A,TRUE,"1.";#N/A,#N/A,TRUE,"2.";#N/A,#N/A,TRUE,"3.";#N/A,#N/A,TRUE,"4-1";#N/A,#N/A,TRUE,"-2";#N/A,#N/A,TRUE,"-3";#N/A,#N/A,TRUE,"-4";#N/A,#N/A,TRUE,"5-1";#N/A,#N/A,TRUE,"5-2";#N/A,#N/A,TRUE,"6-1";#N/A,#N/A,TRUE,"6-2";#N/A,#N/A,TRUE,"7-1";#N/A,#N/A,TRUE,"7-2";#N/A,#N/A,TRUE,"8.";#N/A,#N/A,TRUE,"9."}</definedName>
    <definedName name="__a26" hidden="1">{#N/A,#N/A,TRUE,"목차";#N/A,#N/A,TRUE,"1.";#N/A,#N/A,TRUE,"2.";#N/A,#N/A,TRUE,"3.";#N/A,#N/A,TRUE,"4-1";#N/A,#N/A,TRUE,"-2";#N/A,#N/A,TRUE,"-3";#N/A,#N/A,TRUE,"-4";#N/A,#N/A,TRUE,"5-1";#N/A,#N/A,TRUE,"5-2";#N/A,#N/A,TRUE,"6-1";#N/A,#N/A,TRUE,"6-2";#N/A,#N/A,TRUE,"7-1";#N/A,#N/A,TRUE,"7-2";#N/A,#N/A,TRUE,"8.";#N/A,#N/A,TRUE,"9."}</definedName>
    <definedName name="__a27" hidden="1">{#N/A,#N/A,TRUE,"목차";#N/A,#N/A,TRUE,"1.";#N/A,#N/A,TRUE,"2.";#N/A,#N/A,TRUE,"3.";#N/A,#N/A,TRUE,"4-1";#N/A,#N/A,TRUE,"-2";#N/A,#N/A,TRUE,"-3";#N/A,#N/A,TRUE,"-4";#N/A,#N/A,TRUE,"5-1";#N/A,#N/A,TRUE,"5-2";#N/A,#N/A,TRUE,"6-1";#N/A,#N/A,TRUE,"6-2";#N/A,#N/A,TRUE,"7-1";#N/A,#N/A,TRUE,"7-2";#N/A,#N/A,TRUE,"8.";#N/A,#N/A,TRUE,"9."}</definedName>
    <definedName name="__a28" hidden="1">{#N/A,#N/A,TRUE,"목차";#N/A,#N/A,TRUE,"1.";#N/A,#N/A,TRUE,"2.";#N/A,#N/A,TRUE,"3.";#N/A,#N/A,TRUE,"4-1";#N/A,#N/A,TRUE,"-2";#N/A,#N/A,TRUE,"-3";#N/A,#N/A,TRUE,"-4";#N/A,#N/A,TRUE,"5-1";#N/A,#N/A,TRUE,"5-2";#N/A,#N/A,TRUE,"6-1";#N/A,#N/A,TRUE,"6-2";#N/A,#N/A,TRUE,"7-1";#N/A,#N/A,TRUE,"7-2";#N/A,#N/A,TRUE,"8.";#N/A,#N/A,TRUE,"9."}</definedName>
    <definedName name="__a29" hidden="1">{#N/A,#N/A,TRUE,"목차";#N/A,#N/A,TRUE,"1.";#N/A,#N/A,TRUE,"2.";#N/A,#N/A,TRUE,"3.";#N/A,#N/A,TRUE,"4-1";#N/A,#N/A,TRUE,"-2";#N/A,#N/A,TRUE,"-3";#N/A,#N/A,TRUE,"-4";#N/A,#N/A,TRUE,"5-1";#N/A,#N/A,TRUE,"5-2";#N/A,#N/A,TRUE,"6-1";#N/A,#N/A,TRUE,"6-2";#N/A,#N/A,TRUE,"7-1";#N/A,#N/A,TRUE,"7-2";#N/A,#N/A,TRUE,"8.";#N/A,#N/A,TRUE,"9."}</definedName>
    <definedName name="__A3" hidden="1">{#N/A,#N/A,TRUE,"목차";#N/A,#N/A,TRUE,"1.";#N/A,#N/A,TRUE,"2.";#N/A,#N/A,TRUE,"3.";#N/A,#N/A,TRUE,"4-1";#N/A,#N/A,TRUE,"-2";#N/A,#N/A,TRUE,"-3";#N/A,#N/A,TRUE,"-4";#N/A,#N/A,TRUE,"5-1";#N/A,#N/A,TRUE,"5-2";#N/A,#N/A,TRUE,"6-1";#N/A,#N/A,TRUE,"6-2";#N/A,#N/A,TRUE,"7-1";#N/A,#N/A,TRUE,"7-2";#N/A,#N/A,TRUE,"8.";#N/A,#N/A,TRUE,"9."}</definedName>
    <definedName name="__a31" hidden="1">{#N/A,#N/A,TRUE,"목차";#N/A,#N/A,TRUE,"1.";#N/A,#N/A,TRUE,"2.";#N/A,#N/A,TRUE,"3.";#N/A,#N/A,TRUE,"4-1";#N/A,#N/A,TRUE,"-2";#N/A,#N/A,TRUE,"-3";#N/A,#N/A,TRUE,"-4";#N/A,#N/A,TRUE,"5-1";#N/A,#N/A,TRUE,"5-2";#N/A,#N/A,TRUE,"6-1";#N/A,#N/A,TRUE,"6-2";#N/A,#N/A,TRUE,"7-1";#N/A,#N/A,TRUE,"7-2";#N/A,#N/A,TRUE,"8.";#N/A,#N/A,TRUE,"9."}</definedName>
    <definedName name="__a32" hidden="1">{#N/A,#N/A,TRUE,"목차";#N/A,#N/A,TRUE,"1.";#N/A,#N/A,TRUE,"2.";#N/A,#N/A,TRUE,"3.";#N/A,#N/A,TRUE,"4-1";#N/A,#N/A,TRUE,"-2";#N/A,#N/A,TRUE,"-3";#N/A,#N/A,TRUE,"-4";#N/A,#N/A,TRUE,"5-1";#N/A,#N/A,TRUE,"5-2";#N/A,#N/A,TRUE,"6-1";#N/A,#N/A,TRUE,"6-2";#N/A,#N/A,TRUE,"7-1";#N/A,#N/A,TRUE,"7-2";#N/A,#N/A,TRUE,"8.";#N/A,#N/A,TRUE,"9."}</definedName>
    <definedName name="__a34" hidden="1">{#N/A,#N/A,TRUE,"목차";#N/A,#N/A,TRUE,"1.";#N/A,#N/A,TRUE,"2.";#N/A,#N/A,TRUE,"3.";#N/A,#N/A,TRUE,"4-1";#N/A,#N/A,TRUE,"-2";#N/A,#N/A,TRUE,"-3";#N/A,#N/A,TRUE,"-4";#N/A,#N/A,TRUE,"5-1";#N/A,#N/A,TRUE,"5-2";#N/A,#N/A,TRUE,"6-1";#N/A,#N/A,TRUE,"6-2";#N/A,#N/A,TRUE,"7-1";#N/A,#N/A,TRUE,"7-2";#N/A,#N/A,TRUE,"8.";#N/A,#N/A,TRUE,"9."}</definedName>
    <definedName name="__a36" hidden="1">{#N/A,#N/A,TRUE,"목차";#N/A,#N/A,TRUE,"1.";#N/A,#N/A,TRUE,"2.";#N/A,#N/A,TRUE,"3.";#N/A,#N/A,TRUE,"4-1";#N/A,#N/A,TRUE,"-2";#N/A,#N/A,TRUE,"-3";#N/A,#N/A,TRUE,"-4";#N/A,#N/A,TRUE,"5-1";#N/A,#N/A,TRUE,"5-2";#N/A,#N/A,TRUE,"6-1";#N/A,#N/A,TRUE,"6-2";#N/A,#N/A,TRUE,"7-1";#N/A,#N/A,TRUE,"7-2";#N/A,#N/A,TRUE,"8.";#N/A,#N/A,TRUE,"9."}</definedName>
    <definedName name="__a37" hidden="1">{#N/A,#N/A,TRUE,"목차";#N/A,#N/A,TRUE,"1.";#N/A,#N/A,TRUE,"2.";#N/A,#N/A,TRUE,"3.";#N/A,#N/A,TRUE,"4-1";#N/A,#N/A,TRUE,"-2";#N/A,#N/A,TRUE,"-3";#N/A,#N/A,TRUE,"-4";#N/A,#N/A,TRUE,"5-1";#N/A,#N/A,TRUE,"5-2";#N/A,#N/A,TRUE,"6-1";#N/A,#N/A,TRUE,"6-2";#N/A,#N/A,TRUE,"7-1";#N/A,#N/A,TRUE,"7-2";#N/A,#N/A,TRUE,"8.";#N/A,#N/A,TRUE,"9."}</definedName>
    <definedName name="__a38" hidden="1">{#N/A,#N/A,TRUE,"목차";#N/A,#N/A,TRUE,"1.";#N/A,#N/A,TRUE,"2.";#N/A,#N/A,TRUE,"3.";#N/A,#N/A,TRUE,"4-1";#N/A,#N/A,TRUE,"-2";#N/A,#N/A,TRUE,"-3";#N/A,#N/A,TRUE,"-4";#N/A,#N/A,TRUE,"5-1";#N/A,#N/A,TRUE,"5-2";#N/A,#N/A,TRUE,"6-1";#N/A,#N/A,TRUE,"6-2";#N/A,#N/A,TRUE,"7-1";#N/A,#N/A,TRUE,"7-2";#N/A,#N/A,TRUE,"8.";#N/A,#N/A,TRUE,"9."}</definedName>
    <definedName name="__a39" hidden="1">{#N/A,#N/A,TRUE,"목차";#N/A,#N/A,TRUE,"1.";#N/A,#N/A,TRUE,"2.";#N/A,#N/A,TRUE,"3.";#N/A,#N/A,TRUE,"4-1";#N/A,#N/A,TRUE,"-2";#N/A,#N/A,TRUE,"-3";#N/A,#N/A,TRUE,"-4";#N/A,#N/A,TRUE,"5-1";#N/A,#N/A,TRUE,"5-2";#N/A,#N/A,TRUE,"6-1";#N/A,#N/A,TRUE,"6-2";#N/A,#N/A,TRUE,"7-1";#N/A,#N/A,TRUE,"7-2";#N/A,#N/A,TRUE,"8.";#N/A,#N/A,TRUE,"9."}</definedName>
    <definedName name="__A4" hidden="1">{#N/A,#N/A,TRUE,"목차";#N/A,#N/A,TRUE,"1.";#N/A,#N/A,TRUE,"2.";#N/A,#N/A,TRUE,"3.";#N/A,#N/A,TRUE,"4-1";#N/A,#N/A,TRUE,"-2";#N/A,#N/A,TRUE,"-3";#N/A,#N/A,TRUE,"-4";#N/A,#N/A,TRUE,"5-1";#N/A,#N/A,TRUE,"5-2";#N/A,#N/A,TRUE,"6-1";#N/A,#N/A,TRUE,"6-2";#N/A,#N/A,TRUE,"7-1";#N/A,#N/A,TRUE,"7-2";#N/A,#N/A,TRUE,"8.";#N/A,#N/A,TRUE,"9."}</definedName>
    <definedName name="__a40" hidden="1">{#N/A,#N/A,TRUE,"목차";#N/A,#N/A,TRUE,"1.";#N/A,#N/A,TRUE,"2.";#N/A,#N/A,TRUE,"3.";#N/A,#N/A,TRUE,"4-1";#N/A,#N/A,TRUE,"-2";#N/A,#N/A,TRUE,"-3";#N/A,#N/A,TRUE,"-4";#N/A,#N/A,TRUE,"5-1";#N/A,#N/A,TRUE,"5-2";#N/A,#N/A,TRUE,"6-1";#N/A,#N/A,TRUE,"6-2";#N/A,#N/A,TRUE,"7-1";#N/A,#N/A,TRUE,"7-2";#N/A,#N/A,TRUE,"8.";#N/A,#N/A,TRUE,"9."}</definedName>
    <definedName name="__a41" hidden="1">{#N/A,#N/A,TRUE,"목차";#N/A,#N/A,TRUE,"1.";#N/A,#N/A,TRUE,"2.";#N/A,#N/A,TRUE,"3.";#N/A,#N/A,TRUE,"4-1";#N/A,#N/A,TRUE,"-2";#N/A,#N/A,TRUE,"-3";#N/A,#N/A,TRUE,"-4";#N/A,#N/A,TRUE,"5-1";#N/A,#N/A,TRUE,"5-2";#N/A,#N/A,TRUE,"6-1";#N/A,#N/A,TRUE,"6-2";#N/A,#N/A,TRUE,"7-1";#N/A,#N/A,TRUE,"7-2";#N/A,#N/A,TRUE,"8.";#N/A,#N/A,TRUE,"9."}</definedName>
    <definedName name="__a42" hidden="1">{#N/A,#N/A,TRUE,"목차";#N/A,#N/A,TRUE,"1.";#N/A,#N/A,TRUE,"2.";#N/A,#N/A,TRUE,"3.";#N/A,#N/A,TRUE,"4-1";#N/A,#N/A,TRUE,"-2";#N/A,#N/A,TRUE,"-3";#N/A,#N/A,TRUE,"-4";#N/A,#N/A,TRUE,"5-1";#N/A,#N/A,TRUE,"5-2";#N/A,#N/A,TRUE,"6-1";#N/A,#N/A,TRUE,"6-2";#N/A,#N/A,TRUE,"7-1";#N/A,#N/A,TRUE,"7-2";#N/A,#N/A,TRUE,"8.";#N/A,#N/A,TRUE,"9."}</definedName>
    <definedName name="__a43" hidden="1">{#N/A,#N/A,TRUE,"목차";#N/A,#N/A,TRUE,"1.";#N/A,#N/A,TRUE,"2.";#N/A,#N/A,TRUE,"3.";#N/A,#N/A,TRUE,"4-1";#N/A,#N/A,TRUE,"-2";#N/A,#N/A,TRUE,"-3";#N/A,#N/A,TRUE,"-4";#N/A,#N/A,TRUE,"5-1";#N/A,#N/A,TRUE,"5-2";#N/A,#N/A,TRUE,"6-1";#N/A,#N/A,TRUE,"6-2";#N/A,#N/A,TRUE,"7-1";#N/A,#N/A,TRUE,"7-2";#N/A,#N/A,TRUE,"8.";#N/A,#N/A,TRUE,"9."}</definedName>
    <definedName name="__a45" hidden="1">{#N/A,#N/A,TRUE,"목차";#N/A,#N/A,TRUE,"1.";#N/A,#N/A,TRUE,"2.";#N/A,#N/A,TRUE,"3.";#N/A,#N/A,TRUE,"4-1";#N/A,#N/A,TRUE,"-2";#N/A,#N/A,TRUE,"-3";#N/A,#N/A,TRUE,"-4";#N/A,#N/A,TRUE,"5-1";#N/A,#N/A,TRUE,"5-2";#N/A,#N/A,TRUE,"6-1";#N/A,#N/A,TRUE,"6-2";#N/A,#N/A,TRUE,"7-1";#N/A,#N/A,TRUE,"7-2";#N/A,#N/A,TRUE,"8.";#N/A,#N/A,TRUE,"9."}</definedName>
    <definedName name="__a46" hidden="1">{#N/A,#N/A,TRUE,"목차";#N/A,#N/A,TRUE,"1.";#N/A,#N/A,TRUE,"2.";#N/A,#N/A,TRUE,"3.";#N/A,#N/A,TRUE,"4-1";#N/A,#N/A,TRUE,"-2";#N/A,#N/A,TRUE,"-3";#N/A,#N/A,TRUE,"-4";#N/A,#N/A,TRUE,"5-1";#N/A,#N/A,TRUE,"5-2";#N/A,#N/A,TRUE,"6-1";#N/A,#N/A,TRUE,"6-2";#N/A,#N/A,TRUE,"7-1";#N/A,#N/A,TRUE,"7-2";#N/A,#N/A,TRUE,"8.";#N/A,#N/A,TRUE,"9."}</definedName>
    <definedName name="__A5" hidden="1">{#N/A,#N/A,TRUE,"목차";#N/A,#N/A,TRUE,"1.";#N/A,#N/A,TRUE,"2.";#N/A,#N/A,TRUE,"3.";#N/A,#N/A,TRUE,"4-1";#N/A,#N/A,TRUE,"-2";#N/A,#N/A,TRUE,"-3";#N/A,#N/A,TRUE,"-4";#N/A,#N/A,TRUE,"5-1";#N/A,#N/A,TRUE,"5-2";#N/A,#N/A,TRUE,"6-1";#N/A,#N/A,TRUE,"6-2";#N/A,#N/A,TRUE,"7-1";#N/A,#N/A,TRUE,"7-2";#N/A,#N/A,TRUE,"8.";#N/A,#N/A,TRUE,"9."}</definedName>
    <definedName name="__A6" hidden="1">{#N/A,#N/A,TRUE,"목차";#N/A,#N/A,TRUE,"1.";#N/A,#N/A,TRUE,"2.";#N/A,#N/A,TRUE,"3.";#N/A,#N/A,TRUE,"4-1";#N/A,#N/A,TRUE,"-2";#N/A,#N/A,TRUE,"-3";#N/A,#N/A,TRUE,"-4";#N/A,#N/A,TRUE,"5-1";#N/A,#N/A,TRUE,"5-2";#N/A,#N/A,TRUE,"6-1";#N/A,#N/A,TRUE,"6-2";#N/A,#N/A,TRUE,"7-1";#N/A,#N/A,TRUE,"7-2";#N/A,#N/A,TRUE,"8.";#N/A,#N/A,TRUE,"9."}</definedName>
    <definedName name="__A7" hidden="1">{#N/A,#N/A,TRUE,"목차";#N/A,#N/A,TRUE,"1.";#N/A,#N/A,TRUE,"2.";#N/A,#N/A,TRUE,"3.";#N/A,#N/A,TRUE,"4-1";#N/A,#N/A,TRUE,"-2";#N/A,#N/A,TRUE,"-3";#N/A,#N/A,TRUE,"-4";#N/A,#N/A,TRUE,"5-1";#N/A,#N/A,TRUE,"5-2";#N/A,#N/A,TRUE,"6-1";#N/A,#N/A,TRUE,"6-2";#N/A,#N/A,TRUE,"7-1";#N/A,#N/A,TRUE,"7-2";#N/A,#N/A,TRUE,"8.";#N/A,#N/A,TRUE,"9."}</definedName>
    <definedName name="__A8" hidden="1">{#N/A,#N/A,TRUE,"목차";#N/A,#N/A,TRUE,"1.";#N/A,#N/A,TRUE,"2.";#N/A,#N/A,TRUE,"3.";#N/A,#N/A,TRUE,"4-1";#N/A,#N/A,TRUE,"-2";#N/A,#N/A,TRUE,"-3";#N/A,#N/A,TRUE,"-4";#N/A,#N/A,TRUE,"5-1";#N/A,#N/A,TRUE,"5-2";#N/A,#N/A,TRUE,"6-1";#N/A,#N/A,TRUE,"6-2";#N/A,#N/A,TRUE,"7-1";#N/A,#N/A,TRUE,"7-2";#N/A,#N/A,TRUE,"8.";#N/A,#N/A,TRUE,"9."}</definedName>
    <definedName name="__A9" hidden="1">{#N/A,#N/A,TRUE,"목차";#N/A,#N/A,TRUE,"1.";#N/A,#N/A,TRUE,"2.";#N/A,#N/A,TRUE,"3.";#N/A,#N/A,TRUE,"4-1";#N/A,#N/A,TRUE,"-2";#N/A,#N/A,TRUE,"-3";#N/A,#N/A,TRUE,"-4";#N/A,#N/A,TRUE,"5-1";#N/A,#N/A,TRUE,"5-2";#N/A,#N/A,TRUE,"6-1";#N/A,#N/A,TRUE,"6-2";#N/A,#N/A,TRUE,"7-1";#N/A,#N/A,TRUE,"7-2";#N/A,#N/A,TRUE,"8.";#N/A,#N/A,TRUE,"9."}</definedName>
    <definedName name="__AA1" hidden="1">{#N/A,#N/A,TRUE,"목차";#N/A,#N/A,TRUE,"1.";#N/A,#N/A,TRUE,"2.";#N/A,#N/A,TRUE,"3.";#N/A,#N/A,TRUE,"4-1";#N/A,#N/A,TRUE,"-2";#N/A,#N/A,TRUE,"-3";#N/A,#N/A,TRUE,"-4";#N/A,#N/A,TRUE,"5-1";#N/A,#N/A,TRUE,"5-2";#N/A,#N/A,TRUE,"6-1";#N/A,#N/A,TRUE,"6-2";#N/A,#N/A,TRUE,"7-1";#N/A,#N/A,TRUE,"7-2";#N/A,#N/A,TRUE,"8.";#N/A,#N/A,TRUE,"9."}</definedName>
    <definedName name="__AA46" hidden="1">{#N/A,#N/A,TRUE,"LOADCOVE";#N/A,#N/A,TRUE,"PAGE001";#N/A,#N/A,TRUE,"PAGE002";#N/A,#N/A,TRUE,"PAGE003";#N/A,#N/A,TRUE,"PAGE004";#N/A,#N/A,TRUE,"PAGE005";#N/A,#N/A,TRUE,"PAGE006";#N/A,#N/A,TRUE,"PAGE007";#N/A,#N/A,TRUE,"PAGE008";#N/A,#N/A,TRUE,"PAGE009";#N/A,#N/A,TRUE,"PAGE010";#N/A,#N/A,TRUE,"PAGE011";#N/A,#N/A,TRUE,"PAGE012";#N/A,#N/A,TRUE,"PAGE013"}</definedName>
    <definedName name="__AAA1" hidden="1">{#N/A,#N/A,TRUE,"목차";#N/A,#N/A,TRUE,"1.";#N/A,#N/A,TRUE,"2.";#N/A,#N/A,TRUE,"3.";#N/A,#N/A,TRUE,"4-1";#N/A,#N/A,TRUE,"-2";#N/A,#N/A,TRUE,"-3";#N/A,#N/A,TRUE,"-4";#N/A,#N/A,TRUE,"5-1";#N/A,#N/A,TRUE,"5-2";#N/A,#N/A,TRUE,"6-1";#N/A,#N/A,TRUE,"6-2";#N/A,#N/A,TRUE,"7-1";#N/A,#N/A,TRUE,"7-2";#N/A,#N/A,TRUE,"8.";#N/A,#N/A,TRUE,"9."}</definedName>
    <definedName name="__AAA2" hidden="1">{#N/A,#N/A,TRUE,"목차";#N/A,#N/A,TRUE,"1.";#N/A,#N/A,TRUE,"2.";#N/A,#N/A,TRUE,"3.";#N/A,#N/A,TRUE,"4-1";#N/A,#N/A,TRUE,"-2";#N/A,#N/A,TRUE,"-3";#N/A,#N/A,TRUE,"-4";#N/A,#N/A,TRUE,"5-1";#N/A,#N/A,TRUE,"5-2";#N/A,#N/A,TRUE,"6-1";#N/A,#N/A,TRUE,"6-2";#N/A,#N/A,TRUE,"7-1";#N/A,#N/A,TRUE,"7-2";#N/A,#N/A,TRUE,"8.";#N/A,#N/A,TRUE,"9."}</definedName>
    <definedName name="__AK45" hidden="1">{#N/A,#N/A,TRUE,"LOADCOVE";#N/A,#N/A,TRUE,"PAGE001";#N/A,#N/A,TRUE,"PAGE002";#N/A,#N/A,TRUE,"PAGE003";#N/A,#N/A,TRUE,"PAGE004";#N/A,#N/A,TRUE,"PAGE005";#N/A,#N/A,TRUE,"PAGE006";#N/A,#N/A,TRUE,"PAGE007";#N/A,#N/A,TRUE,"PAGE008";#N/A,#N/A,TRUE,"PAGE009";#N/A,#N/A,TRUE,"PAGE010";#N/A,#N/A,TRUE,"PAGE011";#N/A,#N/A,TRUE,"PAGE012";#N/A,#N/A,TRUE,"PAGE013"}</definedName>
    <definedName name="__AP2" hidden="1">{#N/A,#N/A,TRUE,"LOADCOVE";#N/A,#N/A,TRUE,"PAGE001";#N/A,#N/A,TRUE,"PAGE002";#N/A,#N/A,TRUE,"PAGE003";#N/A,#N/A,TRUE,"PAGE004";#N/A,#N/A,TRUE,"PAGE005";#N/A,#N/A,TRUE,"PAGE006";#N/A,#N/A,TRUE,"PAGE007";#N/A,#N/A,TRUE,"PAGE008";#N/A,#N/A,TRUE,"PAGE009";#N/A,#N/A,TRUE,"PAGE010";#N/A,#N/A,TRUE,"PAGE011";#N/A,#N/A,TRUE,"PAGE012";#N/A,#N/A,TRUE,"PAGE013"}</definedName>
    <definedName name="__B1" hidden="1">{#N/A,#N/A,TRUE,"목차";#N/A,#N/A,TRUE,"1.";#N/A,#N/A,TRUE,"2.";#N/A,#N/A,TRUE,"3.";#N/A,#N/A,TRUE,"4-1";#N/A,#N/A,TRUE,"-2";#N/A,#N/A,TRUE,"-3";#N/A,#N/A,TRUE,"-4";#N/A,#N/A,TRUE,"5-1";#N/A,#N/A,TRUE,"5-2";#N/A,#N/A,TRUE,"6-1";#N/A,#N/A,TRUE,"6-2";#N/A,#N/A,TRUE,"7-1";#N/A,#N/A,TRUE,"7-2";#N/A,#N/A,TRUE,"8.";#N/A,#N/A,TRUE,"9."}</definedName>
    <definedName name="__b106" hidden="1">{#N/A,#N/A,TRUE,"목차";#N/A,#N/A,TRUE,"1.";#N/A,#N/A,TRUE,"2.";#N/A,#N/A,TRUE,"3.";#N/A,#N/A,TRUE,"4-1";#N/A,#N/A,TRUE,"-2";#N/A,#N/A,TRUE,"-3";#N/A,#N/A,TRUE,"-4";#N/A,#N/A,TRUE,"5-1";#N/A,#N/A,TRUE,"5-2";#N/A,#N/A,TRUE,"6-1";#N/A,#N/A,TRUE,"6-2";#N/A,#N/A,TRUE,"7-1";#N/A,#N/A,TRUE,"7-2";#N/A,#N/A,TRUE,"8.";#N/A,#N/A,TRUE,"9."}</definedName>
    <definedName name="__b215" hidden="1">{#N/A,#N/A,TRUE,"목차";#N/A,#N/A,TRUE,"1.";#N/A,#N/A,TRUE,"2.";#N/A,#N/A,TRUE,"3.";#N/A,#N/A,TRUE,"4-1";#N/A,#N/A,TRUE,"-2";#N/A,#N/A,TRUE,"-3";#N/A,#N/A,TRUE,"-4";#N/A,#N/A,TRUE,"5-1";#N/A,#N/A,TRUE,"5-2";#N/A,#N/A,TRUE,"6-1";#N/A,#N/A,TRUE,"6-2";#N/A,#N/A,TRUE,"7-1";#N/A,#N/A,TRUE,"7-2";#N/A,#N/A,TRUE,"8.";#N/A,#N/A,TRUE,"9."}</definedName>
    <definedName name="__b217" hidden="1">{#N/A,#N/A,TRUE,"목차";#N/A,#N/A,TRUE,"1.";#N/A,#N/A,TRUE,"2.";#N/A,#N/A,TRUE,"3.";#N/A,#N/A,TRUE,"4-1";#N/A,#N/A,TRUE,"-2";#N/A,#N/A,TRUE,"-3";#N/A,#N/A,TRUE,"-4";#N/A,#N/A,TRUE,"5-1";#N/A,#N/A,TRUE,"5-2";#N/A,#N/A,TRUE,"6-1";#N/A,#N/A,TRUE,"6-2";#N/A,#N/A,TRUE,"7-1";#N/A,#N/A,TRUE,"7-2";#N/A,#N/A,TRUE,"8.";#N/A,#N/A,TRUE,"9."}</definedName>
    <definedName name="__b218" hidden="1">{#N/A,#N/A,TRUE,"목차";#N/A,#N/A,TRUE,"1.";#N/A,#N/A,TRUE,"2.";#N/A,#N/A,TRUE,"3.";#N/A,#N/A,TRUE,"4-1";#N/A,#N/A,TRUE,"-2";#N/A,#N/A,TRUE,"-3";#N/A,#N/A,TRUE,"-4";#N/A,#N/A,TRUE,"5-1";#N/A,#N/A,TRUE,"5-2";#N/A,#N/A,TRUE,"6-1";#N/A,#N/A,TRUE,"6-2";#N/A,#N/A,TRUE,"7-1";#N/A,#N/A,TRUE,"7-2";#N/A,#N/A,TRUE,"8.";#N/A,#N/A,TRUE,"9."}</definedName>
    <definedName name="__B2222" hidden="1">{#N/A,#N/A,TRUE,"목차";#N/A,#N/A,TRUE,"1.";#N/A,#N/A,TRUE,"2.";#N/A,#N/A,TRUE,"3.";#N/A,#N/A,TRUE,"4-1";#N/A,#N/A,TRUE,"-2";#N/A,#N/A,TRUE,"-3";#N/A,#N/A,TRUE,"-4";#N/A,#N/A,TRUE,"5-1";#N/A,#N/A,TRUE,"5-2";#N/A,#N/A,TRUE,"6-1";#N/A,#N/A,TRUE,"6-2";#N/A,#N/A,TRUE,"7-1";#N/A,#N/A,TRUE,"7-2";#N/A,#N/A,TRUE,"8.";#N/A,#N/A,TRUE,"9."}</definedName>
    <definedName name="__D1" hidden="1">{#N/A,#N/A,TRUE,"목차";#N/A,#N/A,TRUE,"1.";#N/A,#N/A,TRUE,"2.";#N/A,#N/A,TRUE,"3.";#N/A,#N/A,TRUE,"4-1";#N/A,#N/A,TRUE,"-2";#N/A,#N/A,TRUE,"-3";#N/A,#N/A,TRUE,"-4";#N/A,#N/A,TRUE,"5-1";#N/A,#N/A,TRUE,"5-2";#N/A,#N/A,TRUE,"6-1";#N/A,#N/A,TRUE,"6-2";#N/A,#N/A,TRUE,"7-1";#N/A,#N/A,TRUE,"7-2";#N/A,#N/A,TRUE,"8.";#N/A,#N/A,TRUE,"9."}</definedName>
    <definedName name="__D2" hidden="1">{#N/A,#N/A,TRUE,"목차";#N/A,#N/A,TRUE,"1.";#N/A,#N/A,TRUE,"2.";#N/A,#N/A,TRUE,"3.";#N/A,#N/A,TRUE,"4-1";#N/A,#N/A,TRUE,"-2";#N/A,#N/A,TRUE,"-3";#N/A,#N/A,TRUE,"-4";#N/A,#N/A,TRUE,"5-1";#N/A,#N/A,TRUE,"5-2";#N/A,#N/A,TRUE,"6-1";#N/A,#N/A,TRUE,"6-2";#N/A,#N/A,TRUE,"7-1";#N/A,#N/A,TRUE,"7-2";#N/A,#N/A,TRUE,"8.";#N/A,#N/A,TRUE,"9."}</definedName>
    <definedName name="__D3" hidden="1">{#N/A,#N/A,TRUE,"목차";#N/A,#N/A,TRUE,"1.";#N/A,#N/A,TRUE,"2.";#N/A,#N/A,TRUE,"3.";#N/A,#N/A,TRUE,"4-1";#N/A,#N/A,TRUE,"-2";#N/A,#N/A,TRUE,"-3";#N/A,#N/A,TRUE,"-4";#N/A,#N/A,TRUE,"5-1";#N/A,#N/A,TRUE,"5-2";#N/A,#N/A,TRUE,"6-1";#N/A,#N/A,TRUE,"6-2";#N/A,#N/A,TRUE,"7-1";#N/A,#N/A,TRUE,"7-2";#N/A,#N/A,TRUE,"8.";#N/A,#N/A,TRUE,"9."}</definedName>
    <definedName name="__dd100" hidden="1">{#N/A,#N/A,TRUE,"LOADCOVE";#N/A,#N/A,TRUE,"PAGE001";#N/A,#N/A,TRUE,"PAGE002";#N/A,#N/A,TRUE,"PAGE003";#N/A,#N/A,TRUE,"PAGE004";#N/A,#N/A,TRUE,"PAGE005";#N/A,#N/A,TRUE,"PAGE006";#N/A,#N/A,TRUE,"PAGE007";#N/A,#N/A,TRUE,"PAGE008";#N/A,#N/A,TRUE,"PAGE009";#N/A,#N/A,TRUE,"PAGE010";#N/A,#N/A,TRUE,"PAGE011";#N/A,#N/A,TRUE,"PAGE012";#N/A,#N/A,TRUE,"PAGE013"}</definedName>
    <definedName name="__ddt1" hidden="1">{#N/A,#N/A,TRUE,"목차";#N/A,#N/A,TRUE,"1.";#N/A,#N/A,TRUE,"2.";#N/A,#N/A,TRUE,"3.";#N/A,#N/A,TRUE,"4-1";#N/A,#N/A,TRUE,"-2";#N/A,#N/A,TRUE,"-3";#N/A,#N/A,TRUE,"-4";#N/A,#N/A,TRUE,"5-1";#N/A,#N/A,TRUE,"5-2";#N/A,#N/A,TRUE,"6-1";#N/A,#N/A,TRUE,"6-2";#N/A,#N/A,TRUE,"7-1";#N/A,#N/A,TRUE,"7-2";#N/A,#N/A,TRUE,"8.";#N/A,#N/A,TRUE,"9."}</definedName>
    <definedName name="__dt1" hidden="1">{#N/A,#N/A,TRUE,"목차";#N/A,#N/A,TRUE,"1.";#N/A,#N/A,TRUE,"2.";#N/A,#N/A,TRUE,"3.";#N/A,#N/A,TRUE,"4-1";#N/A,#N/A,TRUE,"-2";#N/A,#N/A,TRUE,"-3";#N/A,#N/A,TRUE,"-4";#N/A,#N/A,TRUE,"5-1";#N/A,#N/A,TRUE,"5-2";#N/A,#N/A,TRUE,"6-1";#N/A,#N/A,TRUE,"6-2";#N/A,#N/A,TRUE,"7-1";#N/A,#N/A,TRUE,"7-2";#N/A,#N/A,TRUE,"8.";#N/A,#N/A,TRUE,"9."}</definedName>
    <definedName name="__E1" hidden="1">{#N/A,#N/A,TRUE,"목차";#N/A,#N/A,TRUE,"1.";#N/A,#N/A,TRUE,"2.";#N/A,#N/A,TRUE,"3.";#N/A,#N/A,TRUE,"4-1";#N/A,#N/A,TRUE,"-2";#N/A,#N/A,TRUE,"-3";#N/A,#N/A,TRUE,"-4";#N/A,#N/A,TRUE,"5-1";#N/A,#N/A,TRUE,"5-2";#N/A,#N/A,TRUE,"6-1";#N/A,#N/A,TRUE,"6-2";#N/A,#N/A,TRUE,"7-1";#N/A,#N/A,TRUE,"7-2";#N/A,#N/A,TRUE,"8.";#N/A,#N/A,TRUE,"9."}</definedName>
    <definedName name="__e10" hidden="1">{#N/A,#N/A,TRUE,"목차";#N/A,#N/A,TRUE,"1.";#N/A,#N/A,TRUE,"2.";#N/A,#N/A,TRUE,"3.";#N/A,#N/A,TRUE,"4-1";#N/A,#N/A,TRUE,"-2";#N/A,#N/A,TRUE,"-3";#N/A,#N/A,TRUE,"-4";#N/A,#N/A,TRUE,"5-1";#N/A,#N/A,TRUE,"5-2";#N/A,#N/A,TRUE,"6-1";#N/A,#N/A,TRUE,"6-2";#N/A,#N/A,TRUE,"7-1";#N/A,#N/A,TRUE,"7-2";#N/A,#N/A,TRUE,"8.";#N/A,#N/A,TRUE,"9."}</definedName>
    <definedName name="__e11" hidden="1">{#N/A,#N/A,TRUE,"목차";#N/A,#N/A,TRUE,"1.";#N/A,#N/A,TRUE,"2.";#N/A,#N/A,TRUE,"3.";#N/A,#N/A,TRUE,"4-1";#N/A,#N/A,TRUE,"-2";#N/A,#N/A,TRUE,"-3";#N/A,#N/A,TRUE,"-4";#N/A,#N/A,TRUE,"5-1";#N/A,#N/A,TRUE,"5-2";#N/A,#N/A,TRUE,"6-1";#N/A,#N/A,TRUE,"6-2";#N/A,#N/A,TRUE,"7-1";#N/A,#N/A,TRUE,"7-2";#N/A,#N/A,TRUE,"8.";#N/A,#N/A,TRUE,"9."}</definedName>
    <definedName name="__e12" hidden="1">{#N/A,#N/A,TRUE,"목차";#N/A,#N/A,TRUE,"1.";#N/A,#N/A,TRUE,"2.";#N/A,#N/A,TRUE,"3.";#N/A,#N/A,TRUE,"4-1";#N/A,#N/A,TRUE,"-2";#N/A,#N/A,TRUE,"-3";#N/A,#N/A,TRUE,"-4";#N/A,#N/A,TRUE,"5-1";#N/A,#N/A,TRUE,"5-2";#N/A,#N/A,TRUE,"6-1";#N/A,#N/A,TRUE,"6-2";#N/A,#N/A,TRUE,"7-1";#N/A,#N/A,TRUE,"7-2";#N/A,#N/A,TRUE,"8.";#N/A,#N/A,TRUE,"9."}</definedName>
    <definedName name="__e13" hidden="1">{#N/A,#N/A,TRUE,"목차";#N/A,#N/A,TRUE,"1.";#N/A,#N/A,TRUE,"2.";#N/A,#N/A,TRUE,"3.";#N/A,#N/A,TRUE,"4-1";#N/A,#N/A,TRUE,"-2";#N/A,#N/A,TRUE,"-3";#N/A,#N/A,TRUE,"-4";#N/A,#N/A,TRUE,"5-1";#N/A,#N/A,TRUE,"5-2";#N/A,#N/A,TRUE,"6-1";#N/A,#N/A,TRUE,"6-2";#N/A,#N/A,TRUE,"7-1";#N/A,#N/A,TRUE,"7-2";#N/A,#N/A,TRUE,"8.";#N/A,#N/A,TRUE,"9."}</definedName>
    <definedName name="__e15" hidden="1">{#N/A,#N/A,TRUE,"목차";#N/A,#N/A,TRUE,"1.";#N/A,#N/A,TRUE,"2.";#N/A,#N/A,TRUE,"3.";#N/A,#N/A,TRUE,"4-1";#N/A,#N/A,TRUE,"-2";#N/A,#N/A,TRUE,"-3";#N/A,#N/A,TRUE,"-4";#N/A,#N/A,TRUE,"5-1";#N/A,#N/A,TRUE,"5-2";#N/A,#N/A,TRUE,"6-1";#N/A,#N/A,TRUE,"6-2";#N/A,#N/A,TRUE,"7-1";#N/A,#N/A,TRUE,"7-2";#N/A,#N/A,TRUE,"8.";#N/A,#N/A,TRUE,"9."}</definedName>
    <definedName name="__e16" hidden="1">{#N/A,#N/A,TRUE,"목차";#N/A,#N/A,TRUE,"1.";#N/A,#N/A,TRUE,"2.";#N/A,#N/A,TRUE,"3.";#N/A,#N/A,TRUE,"4-1";#N/A,#N/A,TRUE,"-2";#N/A,#N/A,TRUE,"-3";#N/A,#N/A,TRUE,"-4";#N/A,#N/A,TRUE,"5-1";#N/A,#N/A,TRUE,"5-2";#N/A,#N/A,TRUE,"6-1";#N/A,#N/A,TRUE,"6-2";#N/A,#N/A,TRUE,"7-1";#N/A,#N/A,TRUE,"7-2";#N/A,#N/A,TRUE,"8.";#N/A,#N/A,TRUE,"9."}</definedName>
    <definedName name="__e17" hidden="1">{#N/A,#N/A,TRUE,"목차";#N/A,#N/A,TRUE,"1.";#N/A,#N/A,TRUE,"2.";#N/A,#N/A,TRUE,"3.";#N/A,#N/A,TRUE,"4-1";#N/A,#N/A,TRUE,"-2";#N/A,#N/A,TRUE,"-3";#N/A,#N/A,TRUE,"-4";#N/A,#N/A,TRUE,"5-1";#N/A,#N/A,TRUE,"5-2";#N/A,#N/A,TRUE,"6-1";#N/A,#N/A,TRUE,"6-2";#N/A,#N/A,TRUE,"7-1";#N/A,#N/A,TRUE,"7-2";#N/A,#N/A,TRUE,"8.";#N/A,#N/A,TRUE,"9."}</definedName>
    <definedName name="__e18" hidden="1">{#N/A,#N/A,TRUE,"목차";#N/A,#N/A,TRUE,"1.";#N/A,#N/A,TRUE,"2.";#N/A,#N/A,TRUE,"3.";#N/A,#N/A,TRUE,"4-1";#N/A,#N/A,TRUE,"-2";#N/A,#N/A,TRUE,"-3";#N/A,#N/A,TRUE,"-4";#N/A,#N/A,TRUE,"5-1";#N/A,#N/A,TRUE,"5-2";#N/A,#N/A,TRUE,"6-1";#N/A,#N/A,TRUE,"6-2";#N/A,#N/A,TRUE,"7-1";#N/A,#N/A,TRUE,"7-2";#N/A,#N/A,TRUE,"8.";#N/A,#N/A,TRUE,"9."}</definedName>
    <definedName name="__e19" hidden="1">{#N/A,#N/A,TRUE,"목차";#N/A,#N/A,TRUE,"1.";#N/A,#N/A,TRUE,"2.";#N/A,#N/A,TRUE,"3.";#N/A,#N/A,TRUE,"4-1";#N/A,#N/A,TRUE,"-2";#N/A,#N/A,TRUE,"-3";#N/A,#N/A,TRUE,"-4";#N/A,#N/A,TRUE,"5-1";#N/A,#N/A,TRUE,"5-2";#N/A,#N/A,TRUE,"6-1";#N/A,#N/A,TRUE,"6-2";#N/A,#N/A,TRUE,"7-1";#N/A,#N/A,TRUE,"7-2";#N/A,#N/A,TRUE,"8.";#N/A,#N/A,TRUE,"9."}</definedName>
    <definedName name="__e2" hidden="1">{#N/A,#N/A,TRUE,"목차";#N/A,#N/A,TRUE,"1.";#N/A,#N/A,TRUE,"2.";#N/A,#N/A,TRUE,"3.";#N/A,#N/A,TRUE,"4-1";#N/A,#N/A,TRUE,"-2";#N/A,#N/A,TRUE,"-3";#N/A,#N/A,TRUE,"-4";#N/A,#N/A,TRUE,"5-1";#N/A,#N/A,TRUE,"5-2";#N/A,#N/A,TRUE,"6-1";#N/A,#N/A,TRUE,"6-2";#N/A,#N/A,TRUE,"7-1";#N/A,#N/A,TRUE,"7-2";#N/A,#N/A,TRUE,"8.";#N/A,#N/A,TRUE,"9."}</definedName>
    <definedName name="__e20" hidden="1">{#N/A,#N/A,TRUE,"목차";#N/A,#N/A,TRUE,"1.";#N/A,#N/A,TRUE,"2.";#N/A,#N/A,TRUE,"3.";#N/A,#N/A,TRUE,"4-1";#N/A,#N/A,TRUE,"-2";#N/A,#N/A,TRUE,"-3";#N/A,#N/A,TRUE,"-4";#N/A,#N/A,TRUE,"5-1";#N/A,#N/A,TRUE,"5-2";#N/A,#N/A,TRUE,"6-1";#N/A,#N/A,TRUE,"6-2";#N/A,#N/A,TRUE,"7-1";#N/A,#N/A,TRUE,"7-2";#N/A,#N/A,TRUE,"8.";#N/A,#N/A,TRUE,"9."}</definedName>
    <definedName name="__e21" hidden="1">{#N/A,#N/A,TRUE,"목차";#N/A,#N/A,TRUE,"1.";#N/A,#N/A,TRUE,"2.";#N/A,#N/A,TRUE,"3.";#N/A,#N/A,TRUE,"4-1";#N/A,#N/A,TRUE,"-2";#N/A,#N/A,TRUE,"-3";#N/A,#N/A,TRUE,"-4";#N/A,#N/A,TRUE,"5-1";#N/A,#N/A,TRUE,"5-2";#N/A,#N/A,TRUE,"6-1";#N/A,#N/A,TRUE,"6-2";#N/A,#N/A,TRUE,"7-1";#N/A,#N/A,TRUE,"7-2";#N/A,#N/A,TRUE,"8.";#N/A,#N/A,TRUE,"9."}</definedName>
    <definedName name="__e3" hidden="1">{#N/A,#N/A,TRUE,"목차";#N/A,#N/A,TRUE,"1.";#N/A,#N/A,TRUE,"2.";#N/A,#N/A,TRUE,"3.";#N/A,#N/A,TRUE,"4-1";#N/A,#N/A,TRUE,"-2";#N/A,#N/A,TRUE,"-3";#N/A,#N/A,TRUE,"-4";#N/A,#N/A,TRUE,"5-1";#N/A,#N/A,TRUE,"5-2";#N/A,#N/A,TRUE,"6-1";#N/A,#N/A,TRUE,"6-2";#N/A,#N/A,TRUE,"7-1";#N/A,#N/A,TRUE,"7-2";#N/A,#N/A,TRUE,"8.";#N/A,#N/A,TRUE,"9."}</definedName>
    <definedName name="__e4" hidden="1">{#N/A,#N/A,TRUE,"목차";#N/A,#N/A,TRUE,"1.";#N/A,#N/A,TRUE,"2.";#N/A,#N/A,TRUE,"3.";#N/A,#N/A,TRUE,"4-1";#N/A,#N/A,TRUE,"-2";#N/A,#N/A,TRUE,"-3";#N/A,#N/A,TRUE,"-4";#N/A,#N/A,TRUE,"5-1";#N/A,#N/A,TRUE,"5-2";#N/A,#N/A,TRUE,"6-1";#N/A,#N/A,TRUE,"6-2";#N/A,#N/A,TRUE,"7-1";#N/A,#N/A,TRUE,"7-2";#N/A,#N/A,TRUE,"8.";#N/A,#N/A,TRUE,"9."}</definedName>
    <definedName name="__e5" hidden="1">{#N/A,#N/A,TRUE,"목차";#N/A,#N/A,TRUE,"1.";#N/A,#N/A,TRUE,"2.";#N/A,#N/A,TRUE,"3.";#N/A,#N/A,TRUE,"4-1";#N/A,#N/A,TRUE,"-2";#N/A,#N/A,TRUE,"-3";#N/A,#N/A,TRUE,"-4";#N/A,#N/A,TRUE,"5-1";#N/A,#N/A,TRUE,"5-2";#N/A,#N/A,TRUE,"6-1";#N/A,#N/A,TRUE,"6-2";#N/A,#N/A,TRUE,"7-1";#N/A,#N/A,TRUE,"7-2";#N/A,#N/A,TRUE,"8.";#N/A,#N/A,TRUE,"9."}</definedName>
    <definedName name="__e6" hidden="1">{#N/A,#N/A,TRUE,"목차";#N/A,#N/A,TRUE,"1.";#N/A,#N/A,TRUE,"2.";#N/A,#N/A,TRUE,"3.";#N/A,#N/A,TRUE,"4-1";#N/A,#N/A,TRUE,"-2";#N/A,#N/A,TRUE,"-3";#N/A,#N/A,TRUE,"-4";#N/A,#N/A,TRUE,"5-1";#N/A,#N/A,TRUE,"5-2";#N/A,#N/A,TRUE,"6-1";#N/A,#N/A,TRUE,"6-2";#N/A,#N/A,TRUE,"7-1";#N/A,#N/A,TRUE,"7-2";#N/A,#N/A,TRUE,"8.";#N/A,#N/A,TRUE,"9."}</definedName>
    <definedName name="__e7" hidden="1">{#N/A,#N/A,TRUE,"목차";#N/A,#N/A,TRUE,"1.";#N/A,#N/A,TRUE,"2.";#N/A,#N/A,TRUE,"3.";#N/A,#N/A,TRUE,"4-1";#N/A,#N/A,TRUE,"-2";#N/A,#N/A,TRUE,"-3";#N/A,#N/A,TRUE,"-4";#N/A,#N/A,TRUE,"5-1";#N/A,#N/A,TRUE,"5-2";#N/A,#N/A,TRUE,"6-1";#N/A,#N/A,TRUE,"6-2";#N/A,#N/A,TRUE,"7-1";#N/A,#N/A,TRUE,"7-2";#N/A,#N/A,TRUE,"8.";#N/A,#N/A,TRUE,"9."}</definedName>
    <definedName name="__e8" hidden="1">{#N/A,#N/A,TRUE,"목차";#N/A,#N/A,TRUE,"1.";#N/A,#N/A,TRUE,"2.";#N/A,#N/A,TRUE,"3.";#N/A,#N/A,TRUE,"4-1";#N/A,#N/A,TRUE,"-2";#N/A,#N/A,TRUE,"-3";#N/A,#N/A,TRUE,"-4";#N/A,#N/A,TRUE,"5-1";#N/A,#N/A,TRUE,"5-2";#N/A,#N/A,TRUE,"6-1";#N/A,#N/A,TRUE,"6-2";#N/A,#N/A,TRUE,"7-1";#N/A,#N/A,TRUE,"7-2";#N/A,#N/A,TRUE,"8.";#N/A,#N/A,TRUE,"9."}</definedName>
    <definedName name="__e9" hidden="1">{#N/A,#N/A,TRUE,"목차";#N/A,#N/A,TRUE,"1.";#N/A,#N/A,TRUE,"2.";#N/A,#N/A,TRUE,"3.";#N/A,#N/A,TRUE,"4-1";#N/A,#N/A,TRUE,"-2";#N/A,#N/A,TRUE,"-3";#N/A,#N/A,TRUE,"-4";#N/A,#N/A,TRUE,"5-1";#N/A,#N/A,TRUE,"5-2";#N/A,#N/A,TRUE,"6-1";#N/A,#N/A,TRUE,"6-2";#N/A,#N/A,TRUE,"7-1";#N/A,#N/A,TRUE,"7-2";#N/A,#N/A,TRUE,"8.";#N/A,#N/A,TRUE,"9."}</definedName>
    <definedName name="__el55" hidden="1">{#N/A,#N/A,TRUE,"목차";#N/A,#N/A,TRUE,"1.";#N/A,#N/A,TRUE,"2.";#N/A,#N/A,TRUE,"3.";#N/A,#N/A,TRUE,"4-1";#N/A,#N/A,TRUE,"-2";#N/A,#N/A,TRUE,"-3";#N/A,#N/A,TRUE,"-4";#N/A,#N/A,TRUE,"5-1";#N/A,#N/A,TRUE,"5-2";#N/A,#N/A,TRUE,"6-1";#N/A,#N/A,TRUE,"6-2";#N/A,#N/A,TRUE,"7-1";#N/A,#N/A,TRUE,"7-2";#N/A,#N/A,TRUE,"8.";#N/A,#N/A,TRUE,"9."}</definedName>
    <definedName name="__el68" hidden="1">{#N/A,#N/A,TRUE,"목차";#N/A,#N/A,TRUE,"1.";#N/A,#N/A,TRUE,"2.";#N/A,#N/A,TRUE,"3.";#N/A,#N/A,TRUE,"4-1";#N/A,#N/A,TRUE,"-2";#N/A,#N/A,TRUE,"-3";#N/A,#N/A,TRUE,"-4";#N/A,#N/A,TRUE,"5-1";#N/A,#N/A,TRUE,"5-2";#N/A,#N/A,TRUE,"6-1";#N/A,#N/A,TRUE,"6-2";#N/A,#N/A,TRUE,"7-1";#N/A,#N/A,TRUE,"7-2";#N/A,#N/A,TRUE,"8.";#N/A,#N/A,TRUE,"9."}</definedName>
    <definedName name="__ffg12" hidden="1">{#N/A,#N/A,TRUE,"목차";#N/A,#N/A,TRUE,"1.";#N/A,#N/A,TRUE,"2.";#N/A,#N/A,TRUE,"3.";#N/A,#N/A,TRUE,"4-1";#N/A,#N/A,TRUE,"-2";#N/A,#N/A,TRUE,"-3";#N/A,#N/A,TRUE,"-4";#N/A,#N/A,TRUE,"5-1";#N/A,#N/A,TRUE,"5-2";#N/A,#N/A,TRUE,"6-1";#N/A,#N/A,TRUE,"6-2";#N/A,#N/A,TRUE,"7-1";#N/A,#N/A,TRUE,"7-2";#N/A,#N/A,TRUE,"8.";#N/A,#N/A,TRUE,"9."}</definedName>
    <definedName name="__jk2" hidden="1">{#N/A,#N/A,FALSE,"부서종합";#N/A,#N/A,FALSE,"DISC종합";#N/A,#N/A,FALSE,"생산1과";#N/A,#N/A,FALSE,"생산2과";#N/A,#N/A,FALSE,"전기계장";#N/A,#N/A,FALSE,"기계";#N/A,#N/A,FALSE,"철의장";#N/A,#N/A,FALSE,"거주구";#N/A,#N/A,FALSE,"HVAC"}</definedName>
    <definedName name="__jk4" hidden="1">{#N/A,#N/A,FALSE,"부서종합";#N/A,#N/A,FALSE,"DISC종합";#N/A,#N/A,FALSE,"생산1과";#N/A,#N/A,FALSE,"생산2과";#N/A,#N/A,FALSE,"전기계장";#N/A,#N/A,FALSE,"기계";#N/A,#N/A,FALSE,"철의장";#N/A,#N/A,FALSE,"거주구";#N/A,#N/A,FALSE,"HVAC"}</definedName>
    <definedName name="__K1" hidden="1">{#N/A,#N/A,TRUE,"목차";#N/A,#N/A,TRUE,"1.";#N/A,#N/A,TRUE,"2.";#N/A,#N/A,TRUE,"3.";#N/A,#N/A,TRUE,"4-1";#N/A,#N/A,TRUE,"-2";#N/A,#N/A,TRUE,"-3";#N/A,#N/A,TRUE,"-4";#N/A,#N/A,TRUE,"5-1";#N/A,#N/A,TRUE,"5-2";#N/A,#N/A,TRUE,"6-1";#N/A,#N/A,TRUE,"6-2";#N/A,#N/A,TRUE,"7-1";#N/A,#N/A,TRUE,"7-2";#N/A,#N/A,TRUE,"8.";#N/A,#N/A,TRUE,"9."}</definedName>
    <definedName name="__K41" hidden="1">{#N/A,#N/A,TRUE,"LOADCOVE";#N/A,#N/A,TRUE,"PAGE001";#N/A,#N/A,TRUE,"PAGE002";#N/A,#N/A,TRUE,"PAGE003";#N/A,#N/A,TRUE,"PAGE004";#N/A,#N/A,TRUE,"PAGE005";#N/A,#N/A,TRUE,"PAGE006";#N/A,#N/A,TRUE,"PAGE007";#N/A,#N/A,TRUE,"PAGE008";#N/A,#N/A,TRUE,"PAGE009";#N/A,#N/A,TRUE,"PAGE010";#N/A,#N/A,TRUE,"PAGE011";#N/A,#N/A,TRUE,"PAGE012";#N/A,#N/A,TRUE,"PAGE013"}</definedName>
    <definedName name="__K42" hidden="1">{#N/A,#N/A,TRUE,"LOADCOVE";#N/A,#N/A,TRUE,"PAGE001";#N/A,#N/A,TRUE,"PAGE002";#N/A,#N/A,TRUE,"PAGE003";#N/A,#N/A,TRUE,"PAGE004";#N/A,#N/A,TRUE,"PAGE005";#N/A,#N/A,TRUE,"PAGE006";#N/A,#N/A,TRUE,"PAGE007";#N/A,#N/A,TRUE,"PAGE008";#N/A,#N/A,TRUE,"PAGE009";#N/A,#N/A,TRUE,"PAGE010";#N/A,#N/A,TRUE,"PAGE011";#N/A,#N/A,TRUE,"PAGE012";#N/A,#N/A,TRUE,"PAGE013"}</definedName>
    <definedName name="__K420" hidden="1">{#N/A,#N/A,TRUE,"LOADCOVE";#N/A,#N/A,TRUE,"PAGE001";#N/A,#N/A,TRUE,"PAGE002";#N/A,#N/A,TRUE,"PAGE003";#N/A,#N/A,TRUE,"PAGE004";#N/A,#N/A,TRUE,"PAGE005";#N/A,#N/A,TRUE,"PAGE006";#N/A,#N/A,TRUE,"PAGE007";#N/A,#N/A,TRUE,"PAGE008";#N/A,#N/A,TRUE,"PAGE009";#N/A,#N/A,TRUE,"PAGE010";#N/A,#N/A,TRUE,"PAGE011";#N/A,#N/A,TRUE,"PAGE012";#N/A,#N/A,TRUE,"PAGE013"}</definedName>
    <definedName name="__K430" hidden="1">{#N/A,#N/A,TRUE,"LOADCOVE";#N/A,#N/A,TRUE,"PAGE001";#N/A,#N/A,TRUE,"PAGE002";#N/A,#N/A,TRUE,"PAGE003";#N/A,#N/A,TRUE,"PAGE004";#N/A,#N/A,TRUE,"PAGE005";#N/A,#N/A,TRUE,"PAGE006";#N/A,#N/A,TRUE,"PAGE007";#N/A,#N/A,TRUE,"PAGE008";#N/A,#N/A,TRUE,"PAGE009";#N/A,#N/A,TRUE,"PAGE010";#N/A,#N/A,TRUE,"PAGE011";#N/A,#N/A,TRUE,"PAGE012";#N/A,#N/A,TRUE,"PAGE013"}</definedName>
    <definedName name="__K44" hidden="1">{#N/A,#N/A,TRUE,"LOADCOVE";#N/A,#N/A,TRUE,"PAGE001";#N/A,#N/A,TRUE,"PAGE002";#N/A,#N/A,TRUE,"PAGE003";#N/A,#N/A,TRUE,"PAGE004";#N/A,#N/A,TRUE,"PAGE005";#N/A,#N/A,TRUE,"PAGE006";#N/A,#N/A,TRUE,"PAGE007";#N/A,#N/A,TRUE,"PAGE008";#N/A,#N/A,TRUE,"PAGE009";#N/A,#N/A,TRUE,"PAGE010";#N/A,#N/A,TRUE,"PAGE011";#N/A,#N/A,TRUE,"PAGE012";#N/A,#N/A,TRUE,"PAGE013"}</definedName>
    <definedName name="__K440" hidden="1">{#N/A,#N/A,TRUE,"LOADCOVE";#N/A,#N/A,TRUE,"PAGE001";#N/A,#N/A,TRUE,"PAGE002";#N/A,#N/A,TRUE,"PAGE003";#N/A,#N/A,TRUE,"PAGE004";#N/A,#N/A,TRUE,"PAGE005";#N/A,#N/A,TRUE,"PAGE006";#N/A,#N/A,TRUE,"PAGE007";#N/A,#N/A,TRUE,"PAGE008";#N/A,#N/A,TRUE,"PAGE009";#N/A,#N/A,TRUE,"PAGE010";#N/A,#N/A,TRUE,"PAGE011";#N/A,#N/A,TRUE,"PAGE012";#N/A,#N/A,TRUE,"PAGE013"}</definedName>
    <definedName name="__K4400" hidden="1">{#N/A,#N/A,TRUE,"LOADCOVE";#N/A,#N/A,TRUE,"PAGE001";#N/A,#N/A,TRUE,"PAGE002";#N/A,#N/A,TRUE,"PAGE003";#N/A,#N/A,TRUE,"PAGE004";#N/A,#N/A,TRUE,"PAGE005";#N/A,#N/A,TRUE,"PAGE006";#N/A,#N/A,TRUE,"PAGE007";#N/A,#N/A,TRUE,"PAGE008";#N/A,#N/A,TRUE,"PAGE009";#N/A,#N/A,TRUE,"PAGE010";#N/A,#N/A,TRUE,"PAGE011";#N/A,#N/A,TRUE,"PAGE012";#N/A,#N/A,TRUE,"PAGE013"}</definedName>
    <definedName name="__K44000" hidden="1">{#N/A,#N/A,TRUE,"LOADCOVE";#N/A,#N/A,TRUE,"PAGE001";#N/A,#N/A,TRUE,"PAGE002";#N/A,#N/A,TRUE,"PAGE003";#N/A,#N/A,TRUE,"PAGE004";#N/A,#N/A,TRUE,"PAGE005";#N/A,#N/A,TRUE,"PAGE006";#N/A,#N/A,TRUE,"PAGE007";#N/A,#N/A,TRUE,"PAGE008";#N/A,#N/A,TRUE,"PAGE009";#N/A,#N/A,TRUE,"PAGE010";#N/A,#N/A,TRUE,"PAGE011";#N/A,#N/A,TRUE,"PAGE012";#N/A,#N/A,TRUE,"PAGE013"}</definedName>
    <definedName name="__K44444" hidden="1">{#N/A,#N/A,TRUE,"LOADCOVE";#N/A,#N/A,TRUE,"PAGE001";#N/A,#N/A,TRUE,"PAGE002";#N/A,#N/A,TRUE,"PAGE003";#N/A,#N/A,TRUE,"PAGE004";#N/A,#N/A,TRUE,"PAGE005";#N/A,#N/A,TRUE,"PAGE006";#N/A,#N/A,TRUE,"PAGE007";#N/A,#N/A,TRUE,"PAGE008";#N/A,#N/A,TRUE,"PAGE009";#N/A,#N/A,TRUE,"PAGE010";#N/A,#N/A,TRUE,"PAGE011";#N/A,#N/A,TRUE,"PAGE012";#N/A,#N/A,TRUE,"PAGE013"}</definedName>
    <definedName name="__K45" hidden="1">{#N/A,#N/A,TRUE,"LOADCOVE";#N/A,#N/A,TRUE,"PAGE001";#N/A,#N/A,TRUE,"PAGE002";#N/A,#N/A,TRUE,"PAGE003";#N/A,#N/A,TRUE,"PAGE004";#N/A,#N/A,TRUE,"PAGE005";#N/A,#N/A,TRUE,"PAGE006";#N/A,#N/A,TRUE,"PAGE007";#N/A,#N/A,TRUE,"PAGE008";#N/A,#N/A,TRUE,"PAGE009";#N/A,#N/A,TRUE,"PAGE010";#N/A,#N/A,TRUE,"PAGE011";#N/A,#N/A,TRUE,"PAGE012";#N/A,#N/A,TRUE,"PAGE013"}</definedName>
    <definedName name="__K46" hidden="1">{#N/A,#N/A,TRUE,"LOADCOVE";#N/A,#N/A,TRUE,"PAGE001";#N/A,#N/A,TRUE,"PAGE002";#N/A,#N/A,TRUE,"PAGE003";#N/A,#N/A,TRUE,"PAGE004";#N/A,#N/A,TRUE,"PAGE005";#N/A,#N/A,TRUE,"PAGE006";#N/A,#N/A,TRUE,"PAGE007";#N/A,#N/A,TRUE,"PAGE008";#N/A,#N/A,TRUE,"PAGE009";#N/A,#N/A,TRUE,"PAGE010";#N/A,#N/A,TRUE,"PAGE011";#N/A,#N/A,TRUE,"PAGE012";#N/A,#N/A,TRUE,"PAGE013"}</definedName>
    <definedName name="__K47" hidden="1">{#N/A,#N/A,TRUE,"LOADCOVE";#N/A,#N/A,TRUE,"PAGE001";#N/A,#N/A,TRUE,"PAGE002";#N/A,#N/A,TRUE,"PAGE003";#N/A,#N/A,TRUE,"PAGE004";#N/A,#N/A,TRUE,"PAGE005";#N/A,#N/A,TRUE,"PAGE006";#N/A,#N/A,TRUE,"PAGE007";#N/A,#N/A,TRUE,"PAGE008";#N/A,#N/A,TRUE,"PAGE009";#N/A,#N/A,TRUE,"PAGE010";#N/A,#N/A,TRUE,"PAGE011";#N/A,#N/A,TRUE,"PAGE012";#N/A,#N/A,TRUE,"PAGE013"}</definedName>
    <definedName name="__K48" hidden="1">{#N/A,#N/A,TRUE,"LOADCOVE";#N/A,#N/A,TRUE,"PAGE001";#N/A,#N/A,TRUE,"PAGE002";#N/A,#N/A,TRUE,"PAGE003";#N/A,#N/A,TRUE,"PAGE004";#N/A,#N/A,TRUE,"PAGE005";#N/A,#N/A,TRUE,"PAGE006";#N/A,#N/A,TRUE,"PAGE007";#N/A,#N/A,TRUE,"PAGE008";#N/A,#N/A,TRUE,"PAGE009";#N/A,#N/A,TRUE,"PAGE010";#N/A,#N/A,TRUE,"PAGE011";#N/A,#N/A,TRUE,"PAGE012";#N/A,#N/A,TRUE,"PAGE013"}</definedName>
    <definedName name="__K4800" hidden="1">{#N/A,#N/A,TRUE,"LOADCOVE";#N/A,#N/A,TRUE,"PAGE001";#N/A,#N/A,TRUE,"PAGE002";#N/A,#N/A,TRUE,"PAGE003";#N/A,#N/A,TRUE,"PAGE004";#N/A,#N/A,TRUE,"PAGE005";#N/A,#N/A,TRUE,"PAGE006";#N/A,#N/A,TRUE,"PAGE007";#N/A,#N/A,TRUE,"PAGE008";#N/A,#N/A,TRUE,"PAGE009";#N/A,#N/A,TRUE,"PAGE010";#N/A,#N/A,TRUE,"PAGE011";#N/A,#N/A,TRUE,"PAGE012";#N/A,#N/A,TRUE,"PAGE013"}</definedName>
    <definedName name="__K48008" hidden="1">{#N/A,#N/A,TRUE,"LOADCOVE";#N/A,#N/A,TRUE,"PAGE001";#N/A,#N/A,TRUE,"PAGE002";#N/A,#N/A,TRUE,"PAGE003";#N/A,#N/A,TRUE,"PAGE004";#N/A,#N/A,TRUE,"PAGE005";#N/A,#N/A,TRUE,"PAGE006";#N/A,#N/A,TRUE,"PAGE007";#N/A,#N/A,TRUE,"PAGE008";#N/A,#N/A,TRUE,"PAGE009";#N/A,#N/A,TRUE,"PAGE010";#N/A,#N/A,TRUE,"PAGE011";#N/A,#N/A,TRUE,"PAGE012";#N/A,#N/A,TRUE,"PAGE013"}</definedName>
    <definedName name="__K488" hidden="1">{#N/A,#N/A,TRUE,"LOADCOVE";#N/A,#N/A,TRUE,"PAGE001";#N/A,#N/A,TRUE,"PAGE002";#N/A,#N/A,TRUE,"PAGE003";#N/A,#N/A,TRUE,"PAGE004";#N/A,#N/A,TRUE,"PAGE005";#N/A,#N/A,TRUE,"PAGE006";#N/A,#N/A,TRUE,"PAGE007";#N/A,#N/A,TRUE,"PAGE008";#N/A,#N/A,TRUE,"PAGE009";#N/A,#N/A,TRUE,"PAGE010";#N/A,#N/A,TRUE,"PAGE011";#N/A,#N/A,TRUE,"PAGE012";#N/A,#N/A,TRUE,"PAGE013"}</definedName>
    <definedName name="__K4888" hidden="1">{#N/A,#N/A,TRUE,"LOADCOVE";#N/A,#N/A,TRUE,"PAGE001";#N/A,#N/A,TRUE,"PAGE002";#N/A,#N/A,TRUE,"PAGE003";#N/A,#N/A,TRUE,"PAGE004";#N/A,#N/A,TRUE,"PAGE005";#N/A,#N/A,TRUE,"PAGE006";#N/A,#N/A,TRUE,"PAGE007";#N/A,#N/A,TRUE,"PAGE008";#N/A,#N/A,TRUE,"PAGE009";#N/A,#N/A,TRUE,"PAGE010";#N/A,#N/A,TRUE,"PAGE011";#N/A,#N/A,TRUE,"PAGE012";#N/A,#N/A,TRUE,"PAGE013"}</definedName>
    <definedName name="__LOT2" hidden="1">{#N/A,#N/A,TRUE,"목차";#N/A,#N/A,TRUE,"1.";#N/A,#N/A,TRUE,"2.";#N/A,#N/A,TRUE,"3.";#N/A,#N/A,TRUE,"4-1";#N/A,#N/A,TRUE,"-2";#N/A,#N/A,TRUE,"-3";#N/A,#N/A,TRUE,"-4";#N/A,#N/A,TRUE,"5-1";#N/A,#N/A,TRUE,"5-2";#N/A,#N/A,TRUE,"6-1";#N/A,#N/A,TRUE,"6-2";#N/A,#N/A,TRUE,"7-1";#N/A,#N/A,TRUE,"7-2";#N/A,#N/A,TRUE,"8.";#N/A,#N/A,TRUE,"9."}</definedName>
    <definedName name="__m1" hidden="1">{#N/A,#N/A,TRUE,"목차";#N/A,#N/A,TRUE,"1.";#N/A,#N/A,TRUE,"2.";#N/A,#N/A,TRUE,"3.";#N/A,#N/A,TRUE,"4-1";#N/A,#N/A,TRUE,"-2";#N/A,#N/A,TRUE,"-3";#N/A,#N/A,TRUE,"-4";#N/A,#N/A,TRUE,"5-1";#N/A,#N/A,TRUE,"5-2";#N/A,#N/A,TRUE,"6-1";#N/A,#N/A,TRUE,"6-2";#N/A,#N/A,TRUE,"7-1";#N/A,#N/A,TRUE,"7-2";#N/A,#N/A,TRUE,"8.";#N/A,#N/A,TRUE,"9."}</definedName>
    <definedName name="__MAP12" hidden="1">{#N/A,#N/A,TRUE,"LOADCOVE";#N/A,#N/A,TRUE,"PAGE001";#N/A,#N/A,TRUE,"PAGE002";#N/A,#N/A,TRUE,"PAGE003";#N/A,#N/A,TRUE,"PAGE004";#N/A,#N/A,TRUE,"PAGE005";#N/A,#N/A,TRUE,"PAGE006";#N/A,#N/A,TRUE,"PAGE007";#N/A,#N/A,TRUE,"PAGE008";#N/A,#N/A,TRUE,"PAGE009";#N/A,#N/A,TRUE,"PAGE010";#N/A,#N/A,TRUE,"PAGE011";#N/A,#N/A,TRUE,"PAGE012";#N/A,#N/A,TRUE,"PAGE013"}</definedName>
    <definedName name="__n10" hidden="1">{#N/A,#N/A,TRUE,"목차";#N/A,#N/A,TRUE,"1.";#N/A,#N/A,TRUE,"2.";#N/A,#N/A,TRUE,"3.";#N/A,#N/A,TRUE,"4-1";#N/A,#N/A,TRUE,"-2";#N/A,#N/A,TRUE,"-3";#N/A,#N/A,TRUE,"-4";#N/A,#N/A,TRUE,"5-1";#N/A,#N/A,TRUE,"5-2";#N/A,#N/A,TRUE,"6-1";#N/A,#N/A,TRUE,"6-2";#N/A,#N/A,TRUE,"7-1";#N/A,#N/A,TRUE,"7-2";#N/A,#N/A,TRUE,"8.";#N/A,#N/A,TRUE,"9."}</definedName>
    <definedName name="__n2" hidden="1">{#N/A,#N/A,TRUE,"목차";#N/A,#N/A,TRUE,"1.";#N/A,#N/A,TRUE,"2.";#N/A,#N/A,TRUE,"3.";#N/A,#N/A,TRUE,"4-1";#N/A,#N/A,TRUE,"-2";#N/A,#N/A,TRUE,"-3";#N/A,#N/A,TRUE,"-4";#N/A,#N/A,TRUE,"5-1";#N/A,#N/A,TRUE,"5-2";#N/A,#N/A,TRUE,"6-1";#N/A,#N/A,TRUE,"6-2";#N/A,#N/A,TRUE,"7-1";#N/A,#N/A,TRUE,"7-2";#N/A,#N/A,TRUE,"8.";#N/A,#N/A,TRUE,"9."}</definedName>
    <definedName name="__n3" hidden="1">{#N/A,#N/A,TRUE,"목차";#N/A,#N/A,TRUE,"1.";#N/A,#N/A,TRUE,"2.";#N/A,#N/A,TRUE,"3.";#N/A,#N/A,TRUE,"4-1";#N/A,#N/A,TRUE,"-2";#N/A,#N/A,TRUE,"-3";#N/A,#N/A,TRUE,"-4";#N/A,#N/A,TRUE,"5-1";#N/A,#N/A,TRUE,"5-2";#N/A,#N/A,TRUE,"6-1";#N/A,#N/A,TRUE,"6-2";#N/A,#N/A,TRUE,"7-1";#N/A,#N/A,TRUE,"7-2";#N/A,#N/A,TRUE,"8.";#N/A,#N/A,TRUE,"9."}</definedName>
    <definedName name="__n4" hidden="1">{#N/A,#N/A,TRUE,"목차";#N/A,#N/A,TRUE,"1.";#N/A,#N/A,TRUE,"2.";#N/A,#N/A,TRUE,"3.";#N/A,#N/A,TRUE,"4-1";#N/A,#N/A,TRUE,"-2";#N/A,#N/A,TRUE,"-3";#N/A,#N/A,TRUE,"-4";#N/A,#N/A,TRUE,"5-1";#N/A,#N/A,TRUE,"5-2";#N/A,#N/A,TRUE,"6-1";#N/A,#N/A,TRUE,"6-2";#N/A,#N/A,TRUE,"7-1";#N/A,#N/A,TRUE,"7-2";#N/A,#N/A,TRUE,"8.";#N/A,#N/A,TRUE,"9."}</definedName>
    <definedName name="__n5" hidden="1">{#N/A,#N/A,TRUE,"목차";#N/A,#N/A,TRUE,"1.";#N/A,#N/A,TRUE,"2.";#N/A,#N/A,TRUE,"3.";#N/A,#N/A,TRUE,"4-1";#N/A,#N/A,TRUE,"-2";#N/A,#N/A,TRUE,"-3";#N/A,#N/A,TRUE,"-4";#N/A,#N/A,TRUE,"5-1";#N/A,#N/A,TRUE,"5-2";#N/A,#N/A,TRUE,"6-1";#N/A,#N/A,TRUE,"6-2";#N/A,#N/A,TRUE,"7-1";#N/A,#N/A,TRUE,"7-2";#N/A,#N/A,TRUE,"8.";#N/A,#N/A,TRUE,"9."}</definedName>
    <definedName name="__n6" hidden="1">{#N/A,#N/A,TRUE,"목차";#N/A,#N/A,TRUE,"1.";#N/A,#N/A,TRUE,"2.";#N/A,#N/A,TRUE,"3.";#N/A,#N/A,TRUE,"4-1";#N/A,#N/A,TRUE,"-2";#N/A,#N/A,TRUE,"-3";#N/A,#N/A,TRUE,"-4";#N/A,#N/A,TRUE,"5-1";#N/A,#N/A,TRUE,"5-2";#N/A,#N/A,TRUE,"6-1";#N/A,#N/A,TRUE,"6-2";#N/A,#N/A,TRUE,"7-1";#N/A,#N/A,TRUE,"7-2";#N/A,#N/A,TRUE,"8.";#N/A,#N/A,TRUE,"9."}</definedName>
    <definedName name="__n7" hidden="1">{#N/A,#N/A,TRUE,"목차";#N/A,#N/A,TRUE,"1.";#N/A,#N/A,TRUE,"2.";#N/A,#N/A,TRUE,"3.";#N/A,#N/A,TRUE,"4-1";#N/A,#N/A,TRUE,"-2";#N/A,#N/A,TRUE,"-3";#N/A,#N/A,TRUE,"-4";#N/A,#N/A,TRUE,"5-1";#N/A,#N/A,TRUE,"5-2";#N/A,#N/A,TRUE,"6-1";#N/A,#N/A,TRUE,"6-2";#N/A,#N/A,TRUE,"7-1";#N/A,#N/A,TRUE,"7-2";#N/A,#N/A,TRUE,"8.";#N/A,#N/A,TRUE,"9."}</definedName>
    <definedName name="__n8" hidden="1">{#N/A,#N/A,TRUE,"목차";#N/A,#N/A,TRUE,"1.";#N/A,#N/A,TRUE,"2.";#N/A,#N/A,TRUE,"3.";#N/A,#N/A,TRUE,"4-1";#N/A,#N/A,TRUE,"-2";#N/A,#N/A,TRUE,"-3";#N/A,#N/A,TRUE,"-4";#N/A,#N/A,TRUE,"5-1";#N/A,#N/A,TRUE,"5-2";#N/A,#N/A,TRUE,"6-1";#N/A,#N/A,TRUE,"6-2";#N/A,#N/A,TRUE,"7-1";#N/A,#N/A,TRUE,"7-2";#N/A,#N/A,TRUE,"8.";#N/A,#N/A,TRUE,"9."}</definedName>
    <definedName name="__n9" hidden="1">{#N/A,#N/A,TRUE,"목차";#N/A,#N/A,TRUE,"1.";#N/A,#N/A,TRUE,"2.";#N/A,#N/A,TRUE,"3.";#N/A,#N/A,TRUE,"4-1";#N/A,#N/A,TRUE,"-2";#N/A,#N/A,TRUE,"-3";#N/A,#N/A,TRUE,"-4";#N/A,#N/A,TRUE,"5-1";#N/A,#N/A,TRUE,"5-2";#N/A,#N/A,TRUE,"6-1";#N/A,#N/A,TRUE,"6-2";#N/A,#N/A,TRUE,"7-1";#N/A,#N/A,TRUE,"7-2";#N/A,#N/A,TRUE,"8.";#N/A,#N/A,TRUE,"9."}</definedName>
    <definedName name="__nis3" hidden="1">#REF!</definedName>
    <definedName name="__out2" hidden="1">{#N/A,#N/A,TRUE,"목차";#N/A,#N/A,TRUE,"1.";#N/A,#N/A,TRUE,"2.";#N/A,#N/A,TRUE,"3.";#N/A,#N/A,TRUE,"4-1";#N/A,#N/A,TRUE,"-2";#N/A,#N/A,TRUE,"-3";#N/A,#N/A,TRUE,"-4";#N/A,#N/A,TRUE,"5-1";#N/A,#N/A,TRUE,"5-2";#N/A,#N/A,TRUE,"6-1";#N/A,#N/A,TRUE,"6-2";#N/A,#N/A,TRUE,"7-1";#N/A,#N/A,TRUE,"7-2";#N/A,#N/A,TRUE,"8.";#N/A,#N/A,TRUE,"9."}</definedName>
    <definedName name="__OUT3" hidden="1">{#N/A,#N/A,TRUE,"목차";#N/A,#N/A,TRUE,"1.";#N/A,#N/A,TRUE,"2.";#N/A,#N/A,TRUE,"3.";#N/A,#N/A,TRUE,"4-1";#N/A,#N/A,TRUE,"-2";#N/A,#N/A,TRUE,"-3";#N/A,#N/A,TRUE,"-4";#N/A,#N/A,TRUE,"5-1";#N/A,#N/A,TRUE,"5-2";#N/A,#N/A,TRUE,"6-1";#N/A,#N/A,TRUE,"6-2";#N/A,#N/A,TRUE,"7-1";#N/A,#N/A,TRUE,"7-2";#N/A,#N/A,TRUE,"8.";#N/A,#N/A,TRUE,"9."}</definedName>
    <definedName name="__OUT929" hidden="1">{#N/A,#N/A,TRUE,"목차";#N/A,#N/A,TRUE,"1.";#N/A,#N/A,TRUE,"2.";#N/A,#N/A,TRUE,"3.";#N/A,#N/A,TRUE,"4-1";#N/A,#N/A,TRUE,"-2";#N/A,#N/A,TRUE,"-3";#N/A,#N/A,TRUE,"-4";#N/A,#N/A,TRUE,"5-1";#N/A,#N/A,TRUE,"5-2";#N/A,#N/A,TRUE,"6-1";#N/A,#N/A,TRUE,"6-2";#N/A,#N/A,TRUE,"7-1";#N/A,#N/A,TRUE,"7-2";#N/A,#N/A,TRUE,"8.";#N/A,#N/A,TRUE,"9."}</definedName>
    <definedName name="__P1" hidden="1">{#N/A,#N/A,TRUE,"목차";#N/A,#N/A,TRUE,"1.";#N/A,#N/A,TRUE,"2.";#N/A,#N/A,TRUE,"3.";#N/A,#N/A,TRUE,"4-1";#N/A,#N/A,TRUE,"-2";#N/A,#N/A,TRUE,"-3";#N/A,#N/A,TRUE,"-4";#N/A,#N/A,TRUE,"5-1";#N/A,#N/A,TRUE,"5-2";#N/A,#N/A,TRUE,"6-1";#N/A,#N/A,TRUE,"6-2";#N/A,#N/A,TRUE,"7-1";#N/A,#N/A,TRUE,"7-2";#N/A,#N/A,TRUE,"8.";#N/A,#N/A,TRUE,"9."}</definedName>
    <definedName name="__P10" hidden="1">{#N/A,#N/A,TRUE,"목차";#N/A,#N/A,TRUE,"1.";#N/A,#N/A,TRUE,"2.";#N/A,#N/A,TRUE,"3.";#N/A,#N/A,TRUE,"4-1";#N/A,#N/A,TRUE,"-2";#N/A,#N/A,TRUE,"-3";#N/A,#N/A,TRUE,"-4";#N/A,#N/A,TRUE,"5-1";#N/A,#N/A,TRUE,"5-2";#N/A,#N/A,TRUE,"6-1";#N/A,#N/A,TRUE,"6-2";#N/A,#N/A,TRUE,"7-1";#N/A,#N/A,TRUE,"7-2";#N/A,#N/A,TRUE,"8.";#N/A,#N/A,TRUE,"9."}</definedName>
    <definedName name="__P2" hidden="1">{#N/A,#N/A,TRUE,"목차";#N/A,#N/A,TRUE,"1.";#N/A,#N/A,TRUE,"2.";#N/A,#N/A,TRUE,"3.";#N/A,#N/A,TRUE,"4-1";#N/A,#N/A,TRUE,"-2";#N/A,#N/A,TRUE,"-3";#N/A,#N/A,TRUE,"-4";#N/A,#N/A,TRUE,"5-1";#N/A,#N/A,TRUE,"5-2";#N/A,#N/A,TRUE,"6-1";#N/A,#N/A,TRUE,"6-2";#N/A,#N/A,TRUE,"7-1";#N/A,#N/A,TRUE,"7-2";#N/A,#N/A,TRUE,"8.";#N/A,#N/A,TRUE,"9."}</definedName>
    <definedName name="__P3" hidden="1">{#N/A,#N/A,TRUE,"목차";#N/A,#N/A,TRUE,"1.";#N/A,#N/A,TRUE,"2.";#N/A,#N/A,TRUE,"3.";#N/A,#N/A,TRUE,"4-1";#N/A,#N/A,TRUE,"-2";#N/A,#N/A,TRUE,"-3";#N/A,#N/A,TRUE,"-4";#N/A,#N/A,TRUE,"5-1";#N/A,#N/A,TRUE,"5-2";#N/A,#N/A,TRUE,"6-1";#N/A,#N/A,TRUE,"6-2";#N/A,#N/A,TRUE,"7-1";#N/A,#N/A,TRUE,"7-2";#N/A,#N/A,TRUE,"8.";#N/A,#N/A,TRUE,"9."}</definedName>
    <definedName name="__P4" hidden="1">{#N/A,#N/A,TRUE,"목차";#N/A,#N/A,TRUE,"1.";#N/A,#N/A,TRUE,"2.";#N/A,#N/A,TRUE,"3.";#N/A,#N/A,TRUE,"4-1";#N/A,#N/A,TRUE,"-2";#N/A,#N/A,TRUE,"-3";#N/A,#N/A,TRUE,"-4";#N/A,#N/A,TRUE,"5-1";#N/A,#N/A,TRUE,"5-2";#N/A,#N/A,TRUE,"6-1";#N/A,#N/A,TRUE,"6-2";#N/A,#N/A,TRUE,"7-1";#N/A,#N/A,TRUE,"7-2";#N/A,#N/A,TRUE,"8.";#N/A,#N/A,TRUE,"9."}</definedName>
    <definedName name="__P5" hidden="1">{#N/A,#N/A,TRUE,"목차";#N/A,#N/A,TRUE,"1.";#N/A,#N/A,TRUE,"2.";#N/A,#N/A,TRUE,"3.";#N/A,#N/A,TRUE,"4-1";#N/A,#N/A,TRUE,"-2";#N/A,#N/A,TRUE,"-3";#N/A,#N/A,TRUE,"-4";#N/A,#N/A,TRUE,"5-1";#N/A,#N/A,TRUE,"5-2";#N/A,#N/A,TRUE,"6-1";#N/A,#N/A,TRUE,"6-2";#N/A,#N/A,TRUE,"7-1";#N/A,#N/A,TRUE,"7-2";#N/A,#N/A,TRUE,"8.";#N/A,#N/A,TRUE,"9."}</definedName>
    <definedName name="__P6" hidden="1">{#N/A,#N/A,TRUE,"목차";#N/A,#N/A,TRUE,"1.";#N/A,#N/A,TRUE,"2.";#N/A,#N/A,TRUE,"3.";#N/A,#N/A,TRUE,"4-1";#N/A,#N/A,TRUE,"-2";#N/A,#N/A,TRUE,"-3";#N/A,#N/A,TRUE,"-4";#N/A,#N/A,TRUE,"5-1";#N/A,#N/A,TRUE,"5-2";#N/A,#N/A,TRUE,"6-1";#N/A,#N/A,TRUE,"6-2";#N/A,#N/A,TRUE,"7-1";#N/A,#N/A,TRUE,"7-2";#N/A,#N/A,TRUE,"8.";#N/A,#N/A,TRUE,"9."}</definedName>
    <definedName name="__P7" hidden="1">{#N/A,#N/A,TRUE,"목차";#N/A,#N/A,TRUE,"1.";#N/A,#N/A,TRUE,"2.";#N/A,#N/A,TRUE,"3.";#N/A,#N/A,TRUE,"4-1";#N/A,#N/A,TRUE,"-2";#N/A,#N/A,TRUE,"-3";#N/A,#N/A,TRUE,"-4";#N/A,#N/A,TRUE,"5-1";#N/A,#N/A,TRUE,"5-2";#N/A,#N/A,TRUE,"6-1";#N/A,#N/A,TRUE,"6-2";#N/A,#N/A,TRUE,"7-1";#N/A,#N/A,TRUE,"7-2";#N/A,#N/A,TRUE,"8.";#N/A,#N/A,TRUE,"9."}</definedName>
    <definedName name="__P8" hidden="1">{#N/A,#N/A,TRUE,"목차";#N/A,#N/A,TRUE,"1.";#N/A,#N/A,TRUE,"2.";#N/A,#N/A,TRUE,"3.";#N/A,#N/A,TRUE,"4-1";#N/A,#N/A,TRUE,"-2";#N/A,#N/A,TRUE,"-3";#N/A,#N/A,TRUE,"-4";#N/A,#N/A,TRUE,"5-1";#N/A,#N/A,TRUE,"5-2";#N/A,#N/A,TRUE,"6-1";#N/A,#N/A,TRUE,"6-2";#N/A,#N/A,TRUE,"7-1";#N/A,#N/A,TRUE,"7-2";#N/A,#N/A,TRUE,"8.";#N/A,#N/A,TRUE,"9."}</definedName>
    <definedName name="__P9" hidden="1">{#N/A,#N/A,TRUE,"목차";#N/A,#N/A,TRUE,"1.";#N/A,#N/A,TRUE,"2.";#N/A,#N/A,TRUE,"3.";#N/A,#N/A,TRUE,"4-1";#N/A,#N/A,TRUE,"-2";#N/A,#N/A,TRUE,"-3";#N/A,#N/A,TRUE,"-4";#N/A,#N/A,TRUE,"5-1";#N/A,#N/A,TRUE,"5-2";#N/A,#N/A,TRUE,"6-1";#N/A,#N/A,TRUE,"6-2";#N/A,#N/A,TRUE,"7-1";#N/A,#N/A,TRUE,"7-2";#N/A,#N/A,TRUE,"8.";#N/A,#N/A,TRUE,"9."}</definedName>
    <definedName name="__PC2" hidden="1">{#N/A,#N/A,TRUE,"목차";#N/A,#N/A,TRUE,"1.";#N/A,#N/A,TRUE,"2.";#N/A,#N/A,TRUE,"3.";#N/A,#N/A,TRUE,"4-1";#N/A,#N/A,TRUE,"-2";#N/A,#N/A,TRUE,"-3";#N/A,#N/A,TRUE,"-4";#N/A,#N/A,TRUE,"5-1";#N/A,#N/A,TRUE,"5-2";#N/A,#N/A,TRUE,"6-1";#N/A,#N/A,TRUE,"6-2";#N/A,#N/A,TRUE,"7-1";#N/A,#N/A,TRUE,"7-2";#N/A,#N/A,TRUE,"8.";#N/A,#N/A,TRUE,"9."}</definedName>
    <definedName name="__Q1" hidden="1">{#N/A,#N/A,TRUE,"목차";#N/A,#N/A,TRUE,"1.";#N/A,#N/A,TRUE,"2.";#N/A,#N/A,TRUE,"3.";#N/A,#N/A,TRUE,"4-1";#N/A,#N/A,TRUE,"-2";#N/A,#N/A,TRUE,"-3";#N/A,#N/A,TRUE,"-4";#N/A,#N/A,TRUE,"5-1";#N/A,#N/A,TRUE,"5-2";#N/A,#N/A,TRUE,"6-1";#N/A,#N/A,TRUE,"6-2";#N/A,#N/A,TRUE,"7-1";#N/A,#N/A,TRUE,"7-2";#N/A,#N/A,TRUE,"8.";#N/A,#N/A,TRUE,"9."}</definedName>
    <definedName name="__Q10" hidden="1">{#N/A,#N/A,TRUE,"목차";#N/A,#N/A,TRUE,"1.";#N/A,#N/A,TRUE,"2.";#N/A,#N/A,TRUE,"3.";#N/A,#N/A,TRUE,"4-1";#N/A,#N/A,TRUE,"-2";#N/A,#N/A,TRUE,"-3";#N/A,#N/A,TRUE,"-4";#N/A,#N/A,TRUE,"5-1";#N/A,#N/A,TRUE,"5-2";#N/A,#N/A,TRUE,"6-1";#N/A,#N/A,TRUE,"6-2";#N/A,#N/A,TRUE,"7-1";#N/A,#N/A,TRUE,"7-2";#N/A,#N/A,TRUE,"8.";#N/A,#N/A,TRUE,"9."}</definedName>
    <definedName name="__q11" hidden="1">{#N/A,#N/A,TRUE,"목차";#N/A,#N/A,TRUE,"1.";#N/A,#N/A,TRUE,"2.";#N/A,#N/A,TRUE,"3.";#N/A,#N/A,TRUE,"4-1";#N/A,#N/A,TRUE,"-2";#N/A,#N/A,TRUE,"-3";#N/A,#N/A,TRUE,"-4";#N/A,#N/A,TRUE,"5-1";#N/A,#N/A,TRUE,"5-2";#N/A,#N/A,TRUE,"6-1";#N/A,#N/A,TRUE,"6-2";#N/A,#N/A,TRUE,"7-1";#N/A,#N/A,TRUE,"7-2";#N/A,#N/A,TRUE,"8.";#N/A,#N/A,TRUE,"9."}</definedName>
    <definedName name="__q12" hidden="1">{#N/A,#N/A,TRUE,"목차";#N/A,#N/A,TRUE,"1.";#N/A,#N/A,TRUE,"2.";#N/A,#N/A,TRUE,"3.";#N/A,#N/A,TRUE,"4-1";#N/A,#N/A,TRUE,"-2";#N/A,#N/A,TRUE,"-3";#N/A,#N/A,TRUE,"-4";#N/A,#N/A,TRUE,"5-1";#N/A,#N/A,TRUE,"5-2";#N/A,#N/A,TRUE,"6-1";#N/A,#N/A,TRUE,"6-2";#N/A,#N/A,TRUE,"7-1";#N/A,#N/A,TRUE,"7-2";#N/A,#N/A,TRUE,"8.";#N/A,#N/A,TRUE,"9."}</definedName>
    <definedName name="__q13" hidden="1">{#N/A,#N/A,TRUE,"목차";#N/A,#N/A,TRUE,"1.";#N/A,#N/A,TRUE,"2.";#N/A,#N/A,TRUE,"3.";#N/A,#N/A,TRUE,"4-1";#N/A,#N/A,TRUE,"-2";#N/A,#N/A,TRUE,"-3";#N/A,#N/A,TRUE,"-4";#N/A,#N/A,TRUE,"5-1";#N/A,#N/A,TRUE,"5-2";#N/A,#N/A,TRUE,"6-1";#N/A,#N/A,TRUE,"6-2";#N/A,#N/A,TRUE,"7-1";#N/A,#N/A,TRUE,"7-2";#N/A,#N/A,TRUE,"8.";#N/A,#N/A,TRUE,"9."}</definedName>
    <definedName name="__q14" hidden="1">{#N/A,#N/A,TRUE,"목차";#N/A,#N/A,TRUE,"1.";#N/A,#N/A,TRUE,"2.";#N/A,#N/A,TRUE,"3.";#N/A,#N/A,TRUE,"4-1";#N/A,#N/A,TRUE,"-2";#N/A,#N/A,TRUE,"-3";#N/A,#N/A,TRUE,"-4";#N/A,#N/A,TRUE,"5-1";#N/A,#N/A,TRUE,"5-2";#N/A,#N/A,TRUE,"6-1";#N/A,#N/A,TRUE,"6-2";#N/A,#N/A,TRUE,"7-1";#N/A,#N/A,TRUE,"7-2";#N/A,#N/A,TRUE,"8.";#N/A,#N/A,TRUE,"9."}</definedName>
    <definedName name="__q15" hidden="1">{#N/A,#N/A,TRUE,"목차";#N/A,#N/A,TRUE,"1.";#N/A,#N/A,TRUE,"2.";#N/A,#N/A,TRUE,"3.";#N/A,#N/A,TRUE,"4-1";#N/A,#N/A,TRUE,"-2";#N/A,#N/A,TRUE,"-3";#N/A,#N/A,TRUE,"-4";#N/A,#N/A,TRUE,"5-1";#N/A,#N/A,TRUE,"5-2";#N/A,#N/A,TRUE,"6-1";#N/A,#N/A,TRUE,"6-2";#N/A,#N/A,TRUE,"7-1";#N/A,#N/A,TRUE,"7-2";#N/A,#N/A,TRUE,"8.";#N/A,#N/A,TRUE,"9."}</definedName>
    <definedName name="__q16" hidden="1">{#N/A,#N/A,TRUE,"목차";#N/A,#N/A,TRUE,"1.";#N/A,#N/A,TRUE,"2.";#N/A,#N/A,TRUE,"3.";#N/A,#N/A,TRUE,"4-1";#N/A,#N/A,TRUE,"-2";#N/A,#N/A,TRUE,"-3";#N/A,#N/A,TRUE,"-4";#N/A,#N/A,TRUE,"5-1";#N/A,#N/A,TRUE,"5-2";#N/A,#N/A,TRUE,"6-1";#N/A,#N/A,TRUE,"6-2";#N/A,#N/A,TRUE,"7-1";#N/A,#N/A,TRUE,"7-2";#N/A,#N/A,TRUE,"8.";#N/A,#N/A,TRUE,"9."}</definedName>
    <definedName name="__q17" hidden="1">{#N/A,#N/A,TRUE,"목차";#N/A,#N/A,TRUE,"1.";#N/A,#N/A,TRUE,"2.";#N/A,#N/A,TRUE,"3.";#N/A,#N/A,TRUE,"4-1";#N/A,#N/A,TRUE,"-2";#N/A,#N/A,TRUE,"-3";#N/A,#N/A,TRUE,"-4";#N/A,#N/A,TRUE,"5-1";#N/A,#N/A,TRUE,"5-2";#N/A,#N/A,TRUE,"6-1";#N/A,#N/A,TRUE,"6-2";#N/A,#N/A,TRUE,"7-1";#N/A,#N/A,TRUE,"7-2";#N/A,#N/A,TRUE,"8.";#N/A,#N/A,TRUE,"9."}</definedName>
    <definedName name="__Q2" hidden="1">{#N/A,#N/A,TRUE,"목차";#N/A,#N/A,TRUE,"1.";#N/A,#N/A,TRUE,"2.";#N/A,#N/A,TRUE,"3.";#N/A,#N/A,TRUE,"4-1";#N/A,#N/A,TRUE,"-2";#N/A,#N/A,TRUE,"-3";#N/A,#N/A,TRUE,"-4";#N/A,#N/A,TRUE,"5-1";#N/A,#N/A,TRUE,"5-2";#N/A,#N/A,TRUE,"6-1";#N/A,#N/A,TRUE,"6-2";#N/A,#N/A,TRUE,"7-1";#N/A,#N/A,TRUE,"7-2";#N/A,#N/A,TRUE,"8.";#N/A,#N/A,TRUE,"9."}</definedName>
    <definedName name="__Q3" hidden="1">{#N/A,#N/A,TRUE,"목차";#N/A,#N/A,TRUE,"1.";#N/A,#N/A,TRUE,"2.";#N/A,#N/A,TRUE,"3.";#N/A,#N/A,TRUE,"4-1";#N/A,#N/A,TRUE,"-2";#N/A,#N/A,TRUE,"-3";#N/A,#N/A,TRUE,"-4";#N/A,#N/A,TRUE,"5-1";#N/A,#N/A,TRUE,"5-2";#N/A,#N/A,TRUE,"6-1";#N/A,#N/A,TRUE,"6-2";#N/A,#N/A,TRUE,"7-1";#N/A,#N/A,TRUE,"7-2";#N/A,#N/A,TRUE,"8.";#N/A,#N/A,TRUE,"9."}</definedName>
    <definedName name="__Q4" hidden="1">{#N/A,#N/A,TRUE,"목차";#N/A,#N/A,TRUE,"1.";#N/A,#N/A,TRUE,"2.";#N/A,#N/A,TRUE,"3.";#N/A,#N/A,TRUE,"4-1";#N/A,#N/A,TRUE,"-2";#N/A,#N/A,TRUE,"-3";#N/A,#N/A,TRUE,"-4";#N/A,#N/A,TRUE,"5-1";#N/A,#N/A,TRUE,"5-2";#N/A,#N/A,TRUE,"6-1";#N/A,#N/A,TRUE,"6-2";#N/A,#N/A,TRUE,"7-1";#N/A,#N/A,TRUE,"7-2";#N/A,#N/A,TRUE,"8.";#N/A,#N/A,TRUE,"9."}</definedName>
    <definedName name="__q5" hidden="1">{#N/A,#N/A,TRUE,"목차";#N/A,#N/A,TRUE,"1.";#N/A,#N/A,TRUE,"2.";#N/A,#N/A,TRUE,"3.";#N/A,#N/A,TRUE,"4-1";#N/A,#N/A,TRUE,"-2";#N/A,#N/A,TRUE,"-3";#N/A,#N/A,TRUE,"-4";#N/A,#N/A,TRUE,"5-1";#N/A,#N/A,TRUE,"5-2";#N/A,#N/A,TRUE,"6-1";#N/A,#N/A,TRUE,"6-2";#N/A,#N/A,TRUE,"7-1";#N/A,#N/A,TRUE,"7-2";#N/A,#N/A,TRUE,"8.";#N/A,#N/A,TRUE,"9."}</definedName>
    <definedName name="__Q6" hidden="1">{#N/A,#N/A,TRUE,"목차";#N/A,#N/A,TRUE,"1.";#N/A,#N/A,TRUE,"2.";#N/A,#N/A,TRUE,"3.";#N/A,#N/A,TRUE,"4-1";#N/A,#N/A,TRUE,"-2";#N/A,#N/A,TRUE,"-3";#N/A,#N/A,TRUE,"-4";#N/A,#N/A,TRUE,"5-1";#N/A,#N/A,TRUE,"5-2";#N/A,#N/A,TRUE,"6-1";#N/A,#N/A,TRUE,"6-2";#N/A,#N/A,TRUE,"7-1";#N/A,#N/A,TRUE,"7-2";#N/A,#N/A,TRUE,"8.";#N/A,#N/A,TRUE,"9."}</definedName>
    <definedName name="__Q7" hidden="1">{#N/A,#N/A,TRUE,"목차";#N/A,#N/A,TRUE,"1.";#N/A,#N/A,TRUE,"2.";#N/A,#N/A,TRUE,"3.";#N/A,#N/A,TRUE,"4-1";#N/A,#N/A,TRUE,"-2";#N/A,#N/A,TRUE,"-3";#N/A,#N/A,TRUE,"-4";#N/A,#N/A,TRUE,"5-1";#N/A,#N/A,TRUE,"5-2";#N/A,#N/A,TRUE,"6-1";#N/A,#N/A,TRUE,"6-2";#N/A,#N/A,TRUE,"7-1";#N/A,#N/A,TRUE,"7-2";#N/A,#N/A,TRUE,"8.";#N/A,#N/A,TRUE,"9."}</definedName>
    <definedName name="__Q8" hidden="1">{#N/A,#N/A,TRUE,"목차";#N/A,#N/A,TRUE,"1.";#N/A,#N/A,TRUE,"2.";#N/A,#N/A,TRUE,"3.";#N/A,#N/A,TRUE,"4-1";#N/A,#N/A,TRUE,"-2";#N/A,#N/A,TRUE,"-3";#N/A,#N/A,TRUE,"-4";#N/A,#N/A,TRUE,"5-1";#N/A,#N/A,TRUE,"5-2";#N/A,#N/A,TRUE,"6-1";#N/A,#N/A,TRUE,"6-2";#N/A,#N/A,TRUE,"7-1";#N/A,#N/A,TRUE,"7-2";#N/A,#N/A,TRUE,"8.";#N/A,#N/A,TRUE,"9."}</definedName>
    <definedName name="__Q9" hidden="1">{#N/A,#N/A,TRUE,"목차";#N/A,#N/A,TRUE,"1.";#N/A,#N/A,TRUE,"2.";#N/A,#N/A,TRUE,"3.";#N/A,#N/A,TRUE,"4-1";#N/A,#N/A,TRUE,"-2";#N/A,#N/A,TRUE,"-3";#N/A,#N/A,TRUE,"-4";#N/A,#N/A,TRUE,"5-1";#N/A,#N/A,TRUE,"5-2";#N/A,#N/A,TRUE,"6-1";#N/A,#N/A,TRUE,"6-2";#N/A,#N/A,TRUE,"7-1";#N/A,#N/A,TRUE,"7-2";#N/A,#N/A,TRUE,"8.";#N/A,#N/A,TRUE,"9."}</definedName>
    <definedName name="__QQ1" hidden="1">{#N/A,#N/A,TRUE,"목차";#N/A,#N/A,TRUE,"1.";#N/A,#N/A,TRUE,"2.";#N/A,#N/A,TRUE,"3.";#N/A,#N/A,TRUE,"4-1";#N/A,#N/A,TRUE,"-2";#N/A,#N/A,TRUE,"-3";#N/A,#N/A,TRUE,"-4";#N/A,#N/A,TRUE,"5-1";#N/A,#N/A,TRUE,"5-2";#N/A,#N/A,TRUE,"6-1";#N/A,#N/A,TRUE,"6-2";#N/A,#N/A,TRUE,"7-1";#N/A,#N/A,TRUE,"7-2";#N/A,#N/A,TRUE,"8.";#N/A,#N/A,TRUE,"9."}</definedName>
    <definedName name="__sh1" hidden="1">{#N/A,#N/A,TRUE,"목차";#N/A,#N/A,TRUE,"1.";#N/A,#N/A,TRUE,"2.";#N/A,#N/A,TRUE,"3.";#N/A,#N/A,TRUE,"4-1";#N/A,#N/A,TRUE,"-2";#N/A,#N/A,TRUE,"-3";#N/A,#N/A,TRUE,"-4";#N/A,#N/A,TRUE,"5-1";#N/A,#N/A,TRUE,"5-2";#N/A,#N/A,TRUE,"6-1";#N/A,#N/A,TRUE,"6-2";#N/A,#N/A,TRUE,"7-1";#N/A,#N/A,TRUE,"7-2";#N/A,#N/A,TRUE,"8.";#N/A,#N/A,TRUE,"9."}</definedName>
    <definedName name="__T1" hidden="1">{#N/A,#N/A,TRUE,"목차";#N/A,#N/A,TRUE,"1.";#N/A,#N/A,TRUE,"2.";#N/A,#N/A,TRUE,"3.";#N/A,#N/A,TRUE,"4-1";#N/A,#N/A,TRUE,"-2";#N/A,#N/A,TRUE,"-3";#N/A,#N/A,TRUE,"-4";#N/A,#N/A,TRUE,"5-1";#N/A,#N/A,TRUE,"5-2";#N/A,#N/A,TRUE,"6-1";#N/A,#N/A,TRUE,"6-2";#N/A,#N/A,TRUE,"7-1";#N/A,#N/A,TRUE,"7-2";#N/A,#N/A,TRUE,"8.";#N/A,#N/A,TRUE,"9."}</definedName>
    <definedName name="__V1" hidden="1">{#N/A,#N/A,TRUE,"목차";#N/A,#N/A,TRUE,"1.";#N/A,#N/A,TRUE,"2.";#N/A,#N/A,TRUE,"3.";#N/A,#N/A,TRUE,"4-1";#N/A,#N/A,TRUE,"-2";#N/A,#N/A,TRUE,"-3";#N/A,#N/A,TRUE,"-4";#N/A,#N/A,TRUE,"5-1";#N/A,#N/A,TRUE,"5-2";#N/A,#N/A,TRUE,"6-1";#N/A,#N/A,TRUE,"6-2";#N/A,#N/A,TRUE,"7-1";#N/A,#N/A,TRUE,"7-2";#N/A,#N/A,TRUE,"8.";#N/A,#N/A,TRUE,"9."}</definedName>
    <definedName name="__v10" hidden="1">{#N/A,#N/A,TRUE,"목차";#N/A,#N/A,TRUE,"1.";#N/A,#N/A,TRUE,"2.";#N/A,#N/A,TRUE,"3.";#N/A,#N/A,TRUE,"4-1";#N/A,#N/A,TRUE,"-2";#N/A,#N/A,TRUE,"-3";#N/A,#N/A,TRUE,"-4";#N/A,#N/A,TRUE,"5-1";#N/A,#N/A,TRUE,"5-2";#N/A,#N/A,TRUE,"6-1";#N/A,#N/A,TRUE,"6-2";#N/A,#N/A,TRUE,"7-1";#N/A,#N/A,TRUE,"7-2";#N/A,#N/A,TRUE,"8.";#N/A,#N/A,TRUE,"9."}</definedName>
    <definedName name="__v11" hidden="1">{#N/A,#N/A,TRUE,"목차";#N/A,#N/A,TRUE,"1.";#N/A,#N/A,TRUE,"2.";#N/A,#N/A,TRUE,"3.";#N/A,#N/A,TRUE,"4-1";#N/A,#N/A,TRUE,"-2";#N/A,#N/A,TRUE,"-3";#N/A,#N/A,TRUE,"-4";#N/A,#N/A,TRUE,"5-1";#N/A,#N/A,TRUE,"5-2";#N/A,#N/A,TRUE,"6-1";#N/A,#N/A,TRUE,"6-2";#N/A,#N/A,TRUE,"7-1";#N/A,#N/A,TRUE,"7-2";#N/A,#N/A,TRUE,"8.";#N/A,#N/A,TRUE,"9."}</definedName>
    <definedName name="__v12" hidden="1">{#N/A,#N/A,TRUE,"목차";#N/A,#N/A,TRUE,"1.";#N/A,#N/A,TRUE,"2.";#N/A,#N/A,TRUE,"3.";#N/A,#N/A,TRUE,"4-1";#N/A,#N/A,TRUE,"-2";#N/A,#N/A,TRUE,"-3";#N/A,#N/A,TRUE,"-4";#N/A,#N/A,TRUE,"5-1";#N/A,#N/A,TRUE,"5-2";#N/A,#N/A,TRUE,"6-1";#N/A,#N/A,TRUE,"6-2";#N/A,#N/A,TRUE,"7-1";#N/A,#N/A,TRUE,"7-2";#N/A,#N/A,TRUE,"8.";#N/A,#N/A,TRUE,"9."}</definedName>
    <definedName name="__v21" hidden="1">{#N/A,#N/A,TRUE,"목차";#N/A,#N/A,TRUE,"1.";#N/A,#N/A,TRUE,"2.";#N/A,#N/A,TRUE,"3.";#N/A,#N/A,TRUE,"4-1";#N/A,#N/A,TRUE,"-2";#N/A,#N/A,TRUE,"-3";#N/A,#N/A,TRUE,"-4";#N/A,#N/A,TRUE,"5-1";#N/A,#N/A,TRUE,"5-2";#N/A,#N/A,TRUE,"6-1";#N/A,#N/A,TRUE,"6-2";#N/A,#N/A,TRUE,"7-1";#N/A,#N/A,TRUE,"7-2";#N/A,#N/A,TRUE,"8.";#N/A,#N/A,TRUE,"9."}</definedName>
    <definedName name="__v23" hidden="1">{#N/A,#N/A,TRUE,"목차";#N/A,#N/A,TRUE,"1.";#N/A,#N/A,TRUE,"2.";#N/A,#N/A,TRUE,"3.";#N/A,#N/A,TRUE,"4-1";#N/A,#N/A,TRUE,"-2";#N/A,#N/A,TRUE,"-3";#N/A,#N/A,TRUE,"-4";#N/A,#N/A,TRUE,"5-1";#N/A,#N/A,TRUE,"5-2";#N/A,#N/A,TRUE,"6-1";#N/A,#N/A,TRUE,"6-2";#N/A,#N/A,TRUE,"7-1";#N/A,#N/A,TRUE,"7-2";#N/A,#N/A,TRUE,"8.";#N/A,#N/A,TRUE,"9."}</definedName>
    <definedName name="__v24" hidden="1">{#N/A,#N/A,TRUE,"목차";#N/A,#N/A,TRUE,"1.";#N/A,#N/A,TRUE,"2.";#N/A,#N/A,TRUE,"3.";#N/A,#N/A,TRUE,"4-1";#N/A,#N/A,TRUE,"-2";#N/A,#N/A,TRUE,"-3";#N/A,#N/A,TRUE,"-4";#N/A,#N/A,TRUE,"5-1";#N/A,#N/A,TRUE,"5-2";#N/A,#N/A,TRUE,"6-1";#N/A,#N/A,TRUE,"6-2";#N/A,#N/A,TRUE,"7-1";#N/A,#N/A,TRUE,"7-2";#N/A,#N/A,TRUE,"8.";#N/A,#N/A,TRUE,"9."}</definedName>
    <definedName name="__v25" hidden="1">{#N/A,#N/A,TRUE,"목차";#N/A,#N/A,TRUE,"1.";#N/A,#N/A,TRUE,"2.";#N/A,#N/A,TRUE,"3.";#N/A,#N/A,TRUE,"4-1";#N/A,#N/A,TRUE,"-2";#N/A,#N/A,TRUE,"-3";#N/A,#N/A,TRUE,"-4";#N/A,#N/A,TRUE,"5-1";#N/A,#N/A,TRUE,"5-2";#N/A,#N/A,TRUE,"6-1";#N/A,#N/A,TRUE,"6-2";#N/A,#N/A,TRUE,"7-1";#N/A,#N/A,TRUE,"7-2";#N/A,#N/A,TRUE,"8.";#N/A,#N/A,TRUE,"9."}</definedName>
    <definedName name="__v29" hidden="1">{#N/A,#N/A,TRUE,"목차";#N/A,#N/A,TRUE,"1.";#N/A,#N/A,TRUE,"2.";#N/A,#N/A,TRUE,"3.";#N/A,#N/A,TRUE,"4-1";#N/A,#N/A,TRUE,"-2";#N/A,#N/A,TRUE,"-3";#N/A,#N/A,TRUE,"-4";#N/A,#N/A,TRUE,"5-1";#N/A,#N/A,TRUE,"5-2";#N/A,#N/A,TRUE,"6-1";#N/A,#N/A,TRUE,"6-2";#N/A,#N/A,TRUE,"7-1";#N/A,#N/A,TRUE,"7-2";#N/A,#N/A,TRUE,"8.";#N/A,#N/A,TRUE,"9."}</definedName>
    <definedName name="__v3" hidden="1">{#N/A,#N/A,TRUE,"목차";#N/A,#N/A,TRUE,"1.";#N/A,#N/A,TRUE,"2.";#N/A,#N/A,TRUE,"3.";#N/A,#N/A,TRUE,"4-1";#N/A,#N/A,TRUE,"-2";#N/A,#N/A,TRUE,"-3";#N/A,#N/A,TRUE,"-4";#N/A,#N/A,TRUE,"5-1";#N/A,#N/A,TRUE,"5-2";#N/A,#N/A,TRUE,"6-1";#N/A,#N/A,TRUE,"6-2";#N/A,#N/A,TRUE,"7-1";#N/A,#N/A,TRUE,"7-2";#N/A,#N/A,TRUE,"8.";#N/A,#N/A,TRUE,"9."}</definedName>
    <definedName name="__v4" hidden="1">{#N/A,#N/A,TRUE,"목차";#N/A,#N/A,TRUE,"1.";#N/A,#N/A,TRUE,"2.";#N/A,#N/A,TRUE,"3.";#N/A,#N/A,TRUE,"4-1";#N/A,#N/A,TRUE,"-2";#N/A,#N/A,TRUE,"-3";#N/A,#N/A,TRUE,"-4";#N/A,#N/A,TRUE,"5-1";#N/A,#N/A,TRUE,"5-2";#N/A,#N/A,TRUE,"6-1";#N/A,#N/A,TRUE,"6-2";#N/A,#N/A,TRUE,"7-1";#N/A,#N/A,TRUE,"7-2";#N/A,#N/A,TRUE,"8.";#N/A,#N/A,TRUE,"9."}</definedName>
    <definedName name="__v5" hidden="1">{#N/A,#N/A,TRUE,"목차";#N/A,#N/A,TRUE,"1.";#N/A,#N/A,TRUE,"2.";#N/A,#N/A,TRUE,"3.";#N/A,#N/A,TRUE,"4-1";#N/A,#N/A,TRUE,"-2";#N/A,#N/A,TRUE,"-3";#N/A,#N/A,TRUE,"-4";#N/A,#N/A,TRUE,"5-1";#N/A,#N/A,TRUE,"5-2";#N/A,#N/A,TRUE,"6-1";#N/A,#N/A,TRUE,"6-2";#N/A,#N/A,TRUE,"7-1";#N/A,#N/A,TRUE,"7-2";#N/A,#N/A,TRUE,"8.";#N/A,#N/A,TRUE,"9."}</definedName>
    <definedName name="__v6" hidden="1">{#N/A,#N/A,TRUE,"목차";#N/A,#N/A,TRUE,"1.";#N/A,#N/A,TRUE,"2.";#N/A,#N/A,TRUE,"3.";#N/A,#N/A,TRUE,"4-1";#N/A,#N/A,TRUE,"-2";#N/A,#N/A,TRUE,"-3";#N/A,#N/A,TRUE,"-4";#N/A,#N/A,TRUE,"5-1";#N/A,#N/A,TRUE,"5-2";#N/A,#N/A,TRUE,"6-1";#N/A,#N/A,TRUE,"6-2";#N/A,#N/A,TRUE,"7-1";#N/A,#N/A,TRUE,"7-2";#N/A,#N/A,TRUE,"8.";#N/A,#N/A,TRUE,"9."}</definedName>
    <definedName name="__v7" hidden="1">{#N/A,#N/A,TRUE,"목차";#N/A,#N/A,TRUE,"1.";#N/A,#N/A,TRUE,"2.";#N/A,#N/A,TRUE,"3.";#N/A,#N/A,TRUE,"4-1";#N/A,#N/A,TRUE,"-2";#N/A,#N/A,TRUE,"-3";#N/A,#N/A,TRUE,"-4";#N/A,#N/A,TRUE,"5-1";#N/A,#N/A,TRUE,"5-2";#N/A,#N/A,TRUE,"6-1";#N/A,#N/A,TRUE,"6-2";#N/A,#N/A,TRUE,"7-1";#N/A,#N/A,TRUE,"7-2";#N/A,#N/A,TRUE,"8.";#N/A,#N/A,TRUE,"9."}</definedName>
    <definedName name="__v77" hidden="1">{#N/A,#N/A,TRUE,"목차";#N/A,#N/A,TRUE,"1.";#N/A,#N/A,TRUE,"2.";#N/A,#N/A,TRUE,"3.";#N/A,#N/A,TRUE,"4-1";#N/A,#N/A,TRUE,"-2";#N/A,#N/A,TRUE,"-3";#N/A,#N/A,TRUE,"-4";#N/A,#N/A,TRUE,"5-1";#N/A,#N/A,TRUE,"5-2";#N/A,#N/A,TRUE,"6-1";#N/A,#N/A,TRUE,"6-2";#N/A,#N/A,TRUE,"7-1";#N/A,#N/A,TRUE,"7-2";#N/A,#N/A,TRUE,"8.";#N/A,#N/A,TRUE,"9."}</definedName>
    <definedName name="__v9" hidden="1">{#N/A,#N/A,TRUE,"목차";#N/A,#N/A,TRUE,"1.";#N/A,#N/A,TRUE,"2.";#N/A,#N/A,TRUE,"3.";#N/A,#N/A,TRUE,"4-1";#N/A,#N/A,TRUE,"-2";#N/A,#N/A,TRUE,"-3";#N/A,#N/A,TRUE,"-4";#N/A,#N/A,TRUE,"5-1";#N/A,#N/A,TRUE,"5-2";#N/A,#N/A,TRUE,"6-1";#N/A,#N/A,TRUE,"6-2";#N/A,#N/A,TRUE,"7-1";#N/A,#N/A,TRUE,"7-2";#N/A,#N/A,TRUE,"8.";#N/A,#N/A,TRUE,"9."}</definedName>
    <definedName name="__xlfn.BAHTTEXT" hidden="1">#NAME?</definedName>
    <definedName name="__z1" hidden="1">{#N/A,#N/A,TRUE,"목차";#N/A,#N/A,TRUE,"1.";#N/A,#N/A,TRUE,"2.";#N/A,#N/A,TRUE,"3.";#N/A,#N/A,TRUE,"4-1";#N/A,#N/A,TRUE,"-2";#N/A,#N/A,TRUE,"-3";#N/A,#N/A,TRUE,"-4";#N/A,#N/A,TRUE,"5-1";#N/A,#N/A,TRUE,"5-2";#N/A,#N/A,TRUE,"6-1";#N/A,#N/A,TRUE,"6-2";#N/A,#N/A,TRUE,"7-1";#N/A,#N/A,TRUE,"7-2";#N/A,#N/A,TRUE,"8.";#N/A,#N/A,TRUE,"9."}</definedName>
    <definedName name="__z10" hidden="1">{#N/A,#N/A,TRUE,"목차";#N/A,#N/A,TRUE,"1.";#N/A,#N/A,TRUE,"2.";#N/A,#N/A,TRUE,"3.";#N/A,#N/A,TRUE,"4-1";#N/A,#N/A,TRUE,"-2";#N/A,#N/A,TRUE,"-3";#N/A,#N/A,TRUE,"-4";#N/A,#N/A,TRUE,"5-1";#N/A,#N/A,TRUE,"5-2";#N/A,#N/A,TRUE,"6-1";#N/A,#N/A,TRUE,"6-2";#N/A,#N/A,TRUE,"7-1";#N/A,#N/A,TRUE,"7-2";#N/A,#N/A,TRUE,"8.";#N/A,#N/A,TRUE,"9."}</definedName>
    <definedName name="__z2" hidden="1">{#N/A,#N/A,TRUE,"목차";#N/A,#N/A,TRUE,"1.";#N/A,#N/A,TRUE,"2.";#N/A,#N/A,TRUE,"3.";#N/A,#N/A,TRUE,"4-1";#N/A,#N/A,TRUE,"-2";#N/A,#N/A,TRUE,"-3";#N/A,#N/A,TRUE,"-4";#N/A,#N/A,TRUE,"5-1";#N/A,#N/A,TRUE,"5-2";#N/A,#N/A,TRUE,"6-1";#N/A,#N/A,TRUE,"6-2";#N/A,#N/A,TRUE,"7-1";#N/A,#N/A,TRUE,"7-2";#N/A,#N/A,TRUE,"8.";#N/A,#N/A,TRUE,"9."}</definedName>
    <definedName name="__z3" hidden="1">{#N/A,#N/A,TRUE,"목차";#N/A,#N/A,TRUE,"1.";#N/A,#N/A,TRUE,"2.";#N/A,#N/A,TRUE,"3.";#N/A,#N/A,TRUE,"4-1";#N/A,#N/A,TRUE,"-2";#N/A,#N/A,TRUE,"-3";#N/A,#N/A,TRUE,"-4";#N/A,#N/A,TRUE,"5-1";#N/A,#N/A,TRUE,"5-2";#N/A,#N/A,TRUE,"6-1";#N/A,#N/A,TRUE,"6-2";#N/A,#N/A,TRUE,"7-1";#N/A,#N/A,TRUE,"7-2";#N/A,#N/A,TRUE,"8.";#N/A,#N/A,TRUE,"9."}</definedName>
    <definedName name="__z4" hidden="1">{#N/A,#N/A,TRUE,"목차";#N/A,#N/A,TRUE,"1.";#N/A,#N/A,TRUE,"2.";#N/A,#N/A,TRUE,"3.";#N/A,#N/A,TRUE,"4-1";#N/A,#N/A,TRUE,"-2";#N/A,#N/A,TRUE,"-3";#N/A,#N/A,TRUE,"-4";#N/A,#N/A,TRUE,"5-1";#N/A,#N/A,TRUE,"5-2";#N/A,#N/A,TRUE,"6-1";#N/A,#N/A,TRUE,"6-2";#N/A,#N/A,TRUE,"7-1";#N/A,#N/A,TRUE,"7-2";#N/A,#N/A,TRUE,"8.";#N/A,#N/A,TRUE,"9."}</definedName>
    <definedName name="__z5" hidden="1">{#N/A,#N/A,TRUE,"목차";#N/A,#N/A,TRUE,"1.";#N/A,#N/A,TRUE,"2.";#N/A,#N/A,TRUE,"3.";#N/A,#N/A,TRUE,"4-1";#N/A,#N/A,TRUE,"-2";#N/A,#N/A,TRUE,"-3";#N/A,#N/A,TRUE,"-4";#N/A,#N/A,TRUE,"5-1";#N/A,#N/A,TRUE,"5-2";#N/A,#N/A,TRUE,"6-1";#N/A,#N/A,TRUE,"6-2";#N/A,#N/A,TRUE,"7-1";#N/A,#N/A,TRUE,"7-2";#N/A,#N/A,TRUE,"8.";#N/A,#N/A,TRUE,"9."}</definedName>
    <definedName name="__z6" hidden="1">{#N/A,#N/A,TRUE,"목차";#N/A,#N/A,TRUE,"1.";#N/A,#N/A,TRUE,"2.";#N/A,#N/A,TRUE,"3.";#N/A,#N/A,TRUE,"4-1";#N/A,#N/A,TRUE,"-2";#N/A,#N/A,TRUE,"-3";#N/A,#N/A,TRUE,"-4";#N/A,#N/A,TRUE,"5-1";#N/A,#N/A,TRUE,"5-2";#N/A,#N/A,TRUE,"6-1";#N/A,#N/A,TRUE,"6-2";#N/A,#N/A,TRUE,"7-1";#N/A,#N/A,TRUE,"7-2";#N/A,#N/A,TRUE,"8.";#N/A,#N/A,TRUE,"9."}</definedName>
    <definedName name="__z8" hidden="1">{#N/A,#N/A,TRUE,"목차";#N/A,#N/A,TRUE,"1.";#N/A,#N/A,TRUE,"2.";#N/A,#N/A,TRUE,"3.";#N/A,#N/A,TRUE,"4-1";#N/A,#N/A,TRUE,"-2";#N/A,#N/A,TRUE,"-3";#N/A,#N/A,TRUE,"-4";#N/A,#N/A,TRUE,"5-1";#N/A,#N/A,TRUE,"5-2";#N/A,#N/A,TRUE,"6-1";#N/A,#N/A,TRUE,"6-2";#N/A,#N/A,TRUE,"7-1";#N/A,#N/A,TRUE,"7-2";#N/A,#N/A,TRUE,"8.";#N/A,#N/A,TRUE,"9."}</definedName>
    <definedName name="__z9" hidden="1">{#N/A,#N/A,TRUE,"목차";#N/A,#N/A,TRUE,"1.";#N/A,#N/A,TRUE,"2.";#N/A,#N/A,TRUE,"3.";#N/A,#N/A,TRUE,"4-1";#N/A,#N/A,TRUE,"-2";#N/A,#N/A,TRUE,"-3";#N/A,#N/A,TRUE,"-4";#N/A,#N/A,TRUE,"5-1";#N/A,#N/A,TRUE,"5-2";#N/A,#N/A,TRUE,"6-1";#N/A,#N/A,TRUE,"6-2";#N/A,#N/A,TRUE,"7-1";#N/A,#N/A,TRUE,"7-2";#N/A,#N/A,TRUE,"8.";#N/A,#N/A,TRUE,"9."}</definedName>
    <definedName name="_1__123Graph_ACHART_1" hidden="1">#REF!</definedName>
    <definedName name="_101AK45_" hidden="1">{#N/A,#N/A,TRUE,"LOADCOVE";#N/A,#N/A,TRUE,"PAGE001";#N/A,#N/A,TRUE,"PAGE002";#N/A,#N/A,TRUE,"PAGE003";#N/A,#N/A,TRUE,"PAGE004";#N/A,#N/A,TRUE,"PAGE005";#N/A,#N/A,TRUE,"PAGE006";#N/A,#N/A,TRUE,"PAGE007";#N/A,#N/A,TRUE,"PAGE008";#N/A,#N/A,TRUE,"PAGE009";#N/A,#N/A,TRUE,"PAGE010";#N/A,#N/A,TRUE,"PAGE011";#N/A,#N/A,TRUE,"PAGE012";#N/A,#N/A,TRUE,"PAGE013"}</definedName>
    <definedName name="_103dd100_" hidden="1">{#N/A,#N/A,TRUE,"LOADCOVE";#N/A,#N/A,TRUE,"PAGE001";#N/A,#N/A,TRUE,"PAGE002";#N/A,#N/A,TRUE,"PAGE003";#N/A,#N/A,TRUE,"PAGE004";#N/A,#N/A,TRUE,"PAGE005";#N/A,#N/A,TRUE,"PAGE006";#N/A,#N/A,TRUE,"PAGE007";#N/A,#N/A,TRUE,"PAGE008";#N/A,#N/A,TRUE,"PAGE009";#N/A,#N/A,TRUE,"PAGE010";#N/A,#N/A,TRUE,"PAGE011";#N/A,#N/A,TRUE,"PAGE012";#N/A,#N/A,TRUE,"PAGE013"}</definedName>
    <definedName name="_103m1_" hidden="1">{#N/A,#N/A,TRUE,"목차";#N/A,#N/A,TRUE,"1.";#N/A,#N/A,TRUE,"2.";#N/A,#N/A,TRUE,"3.";#N/A,#N/A,TRUE,"4-1";#N/A,#N/A,TRUE,"-2";#N/A,#N/A,TRUE,"-3";#N/A,#N/A,TRUE,"-4";#N/A,#N/A,TRUE,"5-1";#N/A,#N/A,TRUE,"5-2";#N/A,#N/A,TRUE,"6-1";#N/A,#N/A,TRUE,"6-2";#N/A,#N/A,TRUE,"7-1";#N/A,#N/A,TRUE,"7-2";#N/A,#N/A,TRUE,"8.";#N/A,#N/A,TRUE,"9."}</definedName>
    <definedName name="_105dt1_" hidden="1">{#N/A,#N/A,TRUE,"목차";#N/A,#N/A,TRUE,"1.";#N/A,#N/A,TRUE,"2.";#N/A,#N/A,TRUE,"3.";#N/A,#N/A,TRUE,"4-1";#N/A,#N/A,TRUE,"-2";#N/A,#N/A,TRUE,"-3";#N/A,#N/A,TRUE,"-4";#N/A,#N/A,TRUE,"5-1";#N/A,#N/A,TRUE,"5-2";#N/A,#N/A,TRUE,"6-1";#N/A,#N/A,TRUE,"6-2";#N/A,#N/A,TRUE,"7-1";#N/A,#N/A,TRUE,"7-2";#N/A,#N/A,TRUE,"8.";#N/A,#N/A,TRUE,"9."}</definedName>
    <definedName name="_105n10_" hidden="1">{#N/A,#N/A,TRUE,"목차";#N/A,#N/A,TRUE,"1.";#N/A,#N/A,TRUE,"2.";#N/A,#N/A,TRUE,"3.";#N/A,#N/A,TRUE,"4-1";#N/A,#N/A,TRUE,"-2";#N/A,#N/A,TRUE,"-3";#N/A,#N/A,TRUE,"-4";#N/A,#N/A,TRUE,"5-1";#N/A,#N/A,TRUE,"5-2";#N/A,#N/A,TRUE,"6-1";#N/A,#N/A,TRUE,"6-2";#N/A,#N/A,TRUE,"7-1";#N/A,#N/A,TRUE,"7-2";#N/A,#N/A,TRUE,"8.";#N/A,#N/A,TRUE,"9."}</definedName>
    <definedName name="_107el55_" hidden="1">{#N/A,#N/A,TRUE,"목차";#N/A,#N/A,TRUE,"1.";#N/A,#N/A,TRUE,"2.";#N/A,#N/A,TRUE,"3.";#N/A,#N/A,TRUE,"4-1";#N/A,#N/A,TRUE,"-2";#N/A,#N/A,TRUE,"-3";#N/A,#N/A,TRUE,"-4";#N/A,#N/A,TRUE,"5-1";#N/A,#N/A,TRUE,"5-2";#N/A,#N/A,TRUE,"6-1";#N/A,#N/A,TRUE,"6-2";#N/A,#N/A,TRUE,"7-1";#N/A,#N/A,TRUE,"7-2";#N/A,#N/A,TRUE,"8.";#N/A,#N/A,TRUE,"9."}</definedName>
    <definedName name="_107n2_" hidden="1">{#N/A,#N/A,TRUE,"목차";#N/A,#N/A,TRUE,"1.";#N/A,#N/A,TRUE,"2.";#N/A,#N/A,TRUE,"3.";#N/A,#N/A,TRUE,"4-1";#N/A,#N/A,TRUE,"-2";#N/A,#N/A,TRUE,"-3";#N/A,#N/A,TRUE,"-4";#N/A,#N/A,TRUE,"5-1";#N/A,#N/A,TRUE,"5-2";#N/A,#N/A,TRUE,"6-1";#N/A,#N/A,TRUE,"6-2";#N/A,#N/A,TRUE,"7-1";#N/A,#N/A,TRUE,"7-2";#N/A,#N/A,TRUE,"8.";#N/A,#N/A,TRUE,"9."}</definedName>
    <definedName name="_109el68_" hidden="1">{#N/A,#N/A,TRUE,"목차";#N/A,#N/A,TRUE,"1.";#N/A,#N/A,TRUE,"2.";#N/A,#N/A,TRUE,"3.";#N/A,#N/A,TRUE,"4-1";#N/A,#N/A,TRUE,"-2";#N/A,#N/A,TRUE,"-3";#N/A,#N/A,TRUE,"-4";#N/A,#N/A,TRUE,"5-1";#N/A,#N/A,TRUE,"5-2";#N/A,#N/A,TRUE,"6-1";#N/A,#N/A,TRUE,"6-2";#N/A,#N/A,TRUE,"7-1";#N/A,#N/A,TRUE,"7-2";#N/A,#N/A,TRUE,"8.";#N/A,#N/A,TRUE,"9."}</definedName>
    <definedName name="_109n3_" hidden="1">{#N/A,#N/A,TRUE,"목차";#N/A,#N/A,TRUE,"1.";#N/A,#N/A,TRUE,"2.";#N/A,#N/A,TRUE,"3.";#N/A,#N/A,TRUE,"4-1";#N/A,#N/A,TRUE,"-2";#N/A,#N/A,TRUE,"-3";#N/A,#N/A,TRUE,"-4";#N/A,#N/A,TRUE,"5-1";#N/A,#N/A,TRUE,"5-2";#N/A,#N/A,TRUE,"6-1";#N/A,#N/A,TRUE,"6-2";#N/A,#N/A,TRUE,"7-1";#N/A,#N/A,TRUE,"7-2";#N/A,#N/A,TRUE,"8.";#N/A,#N/A,TRUE,"9."}</definedName>
    <definedName name="_111K41_" hidden="1">{#N/A,#N/A,TRUE,"LOADCOVE";#N/A,#N/A,TRUE,"PAGE001";#N/A,#N/A,TRUE,"PAGE002";#N/A,#N/A,TRUE,"PAGE003";#N/A,#N/A,TRUE,"PAGE004";#N/A,#N/A,TRUE,"PAGE005";#N/A,#N/A,TRUE,"PAGE006";#N/A,#N/A,TRUE,"PAGE007";#N/A,#N/A,TRUE,"PAGE008";#N/A,#N/A,TRUE,"PAGE009";#N/A,#N/A,TRUE,"PAGE010";#N/A,#N/A,TRUE,"PAGE011";#N/A,#N/A,TRUE,"PAGE012";#N/A,#N/A,TRUE,"PAGE013"}</definedName>
    <definedName name="_111n4_" hidden="1">{#N/A,#N/A,TRUE,"목차";#N/A,#N/A,TRUE,"1.";#N/A,#N/A,TRUE,"2.";#N/A,#N/A,TRUE,"3.";#N/A,#N/A,TRUE,"4-1";#N/A,#N/A,TRUE,"-2";#N/A,#N/A,TRUE,"-3";#N/A,#N/A,TRUE,"-4";#N/A,#N/A,TRUE,"5-1";#N/A,#N/A,TRUE,"5-2";#N/A,#N/A,TRUE,"6-1";#N/A,#N/A,TRUE,"6-2";#N/A,#N/A,TRUE,"7-1";#N/A,#N/A,TRUE,"7-2";#N/A,#N/A,TRUE,"8.";#N/A,#N/A,TRUE,"9."}</definedName>
    <definedName name="_113K42_" hidden="1">{#N/A,#N/A,TRUE,"LOADCOVE";#N/A,#N/A,TRUE,"PAGE001";#N/A,#N/A,TRUE,"PAGE002";#N/A,#N/A,TRUE,"PAGE003";#N/A,#N/A,TRUE,"PAGE004";#N/A,#N/A,TRUE,"PAGE005";#N/A,#N/A,TRUE,"PAGE006";#N/A,#N/A,TRUE,"PAGE007";#N/A,#N/A,TRUE,"PAGE008";#N/A,#N/A,TRUE,"PAGE009";#N/A,#N/A,TRUE,"PAGE010";#N/A,#N/A,TRUE,"PAGE011";#N/A,#N/A,TRUE,"PAGE012";#N/A,#N/A,TRUE,"PAGE013"}</definedName>
    <definedName name="_113n5_" hidden="1">{#N/A,#N/A,TRUE,"목차";#N/A,#N/A,TRUE,"1.";#N/A,#N/A,TRUE,"2.";#N/A,#N/A,TRUE,"3.";#N/A,#N/A,TRUE,"4-1";#N/A,#N/A,TRUE,"-2";#N/A,#N/A,TRUE,"-3";#N/A,#N/A,TRUE,"-4";#N/A,#N/A,TRUE,"5-1";#N/A,#N/A,TRUE,"5-2";#N/A,#N/A,TRUE,"6-1";#N/A,#N/A,TRUE,"6-2";#N/A,#N/A,TRUE,"7-1";#N/A,#N/A,TRUE,"7-2";#N/A,#N/A,TRUE,"8.";#N/A,#N/A,TRUE,"9."}</definedName>
    <definedName name="_115K420_" hidden="1">{#N/A,#N/A,TRUE,"LOADCOVE";#N/A,#N/A,TRUE,"PAGE001";#N/A,#N/A,TRUE,"PAGE002";#N/A,#N/A,TRUE,"PAGE003";#N/A,#N/A,TRUE,"PAGE004";#N/A,#N/A,TRUE,"PAGE005";#N/A,#N/A,TRUE,"PAGE006";#N/A,#N/A,TRUE,"PAGE007";#N/A,#N/A,TRUE,"PAGE008";#N/A,#N/A,TRUE,"PAGE009";#N/A,#N/A,TRUE,"PAGE010";#N/A,#N/A,TRUE,"PAGE011";#N/A,#N/A,TRUE,"PAGE012";#N/A,#N/A,TRUE,"PAGE013"}</definedName>
    <definedName name="_115n6_" hidden="1">{#N/A,#N/A,TRUE,"목차";#N/A,#N/A,TRUE,"1.";#N/A,#N/A,TRUE,"2.";#N/A,#N/A,TRUE,"3.";#N/A,#N/A,TRUE,"4-1";#N/A,#N/A,TRUE,"-2";#N/A,#N/A,TRUE,"-3";#N/A,#N/A,TRUE,"-4";#N/A,#N/A,TRUE,"5-1";#N/A,#N/A,TRUE,"5-2";#N/A,#N/A,TRUE,"6-1";#N/A,#N/A,TRUE,"6-2";#N/A,#N/A,TRUE,"7-1";#N/A,#N/A,TRUE,"7-2";#N/A,#N/A,TRUE,"8.";#N/A,#N/A,TRUE,"9."}</definedName>
    <definedName name="_117K430_" hidden="1">{#N/A,#N/A,TRUE,"LOADCOVE";#N/A,#N/A,TRUE,"PAGE001";#N/A,#N/A,TRUE,"PAGE002";#N/A,#N/A,TRUE,"PAGE003";#N/A,#N/A,TRUE,"PAGE004";#N/A,#N/A,TRUE,"PAGE005";#N/A,#N/A,TRUE,"PAGE006";#N/A,#N/A,TRUE,"PAGE007";#N/A,#N/A,TRUE,"PAGE008";#N/A,#N/A,TRUE,"PAGE009";#N/A,#N/A,TRUE,"PAGE010";#N/A,#N/A,TRUE,"PAGE011";#N/A,#N/A,TRUE,"PAGE012";#N/A,#N/A,TRUE,"PAGE013"}</definedName>
    <definedName name="_117n7_" hidden="1">{#N/A,#N/A,TRUE,"목차";#N/A,#N/A,TRUE,"1.";#N/A,#N/A,TRUE,"2.";#N/A,#N/A,TRUE,"3.";#N/A,#N/A,TRUE,"4-1";#N/A,#N/A,TRUE,"-2";#N/A,#N/A,TRUE,"-3";#N/A,#N/A,TRUE,"-4";#N/A,#N/A,TRUE,"5-1";#N/A,#N/A,TRUE,"5-2";#N/A,#N/A,TRUE,"6-1";#N/A,#N/A,TRUE,"6-2";#N/A,#N/A,TRUE,"7-1";#N/A,#N/A,TRUE,"7-2";#N/A,#N/A,TRUE,"8.";#N/A,#N/A,TRUE,"9."}</definedName>
    <definedName name="_119K44_" hidden="1">{#N/A,#N/A,TRUE,"LOADCOVE";#N/A,#N/A,TRUE,"PAGE001";#N/A,#N/A,TRUE,"PAGE002";#N/A,#N/A,TRUE,"PAGE003";#N/A,#N/A,TRUE,"PAGE004";#N/A,#N/A,TRUE,"PAGE005";#N/A,#N/A,TRUE,"PAGE006";#N/A,#N/A,TRUE,"PAGE007";#N/A,#N/A,TRUE,"PAGE008";#N/A,#N/A,TRUE,"PAGE009";#N/A,#N/A,TRUE,"PAGE010";#N/A,#N/A,TRUE,"PAGE011";#N/A,#N/A,TRUE,"PAGE012";#N/A,#N/A,TRUE,"PAGE013"}</definedName>
    <definedName name="_119n8_" hidden="1">{#N/A,#N/A,TRUE,"목차";#N/A,#N/A,TRUE,"1.";#N/A,#N/A,TRUE,"2.";#N/A,#N/A,TRUE,"3.";#N/A,#N/A,TRUE,"4-1";#N/A,#N/A,TRUE,"-2";#N/A,#N/A,TRUE,"-3";#N/A,#N/A,TRUE,"-4";#N/A,#N/A,TRUE,"5-1";#N/A,#N/A,TRUE,"5-2";#N/A,#N/A,TRUE,"6-1";#N/A,#N/A,TRUE,"6-2";#N/A,#N/A,TRUE,"7-1";#N/A,#N/A,TRUE,"7-2";#N/A,#N/A,TRUE,"8.";#N/A,#N/A,TRUE,"9."}</definedName>
    <definedName name="_11A111_" hidden="1">{#N/A,#N/A,TRUE,"목차";#N/A,#N/A,TRUE,"1.";#N/A,#N/A,TRUE,"2.";#N/A,#N/A,TRUE,"3.";#N/A,#N/A,TRUE,"4-1";#N/A,#N/A,TRUE,"-2";#N/A,#N/A,TRUE,"-3";#N/A,#N/A,TRUE,"-4";#N/A,#N/A,TRUE,"5-1";#N/A,#N/A,TRUE,"5-2";#N/A,#N/A,TRUE,"6-1";#N/A,#N/A,TRUE,"6-2";#N/A,#N/A,TRUE,"7-1";#N/A,#N/A,TRUE,"7-2";#N/A,#N/A,TRUE,"8.";#N/A,#N/A,TRUE,"9."}</definedName>
    <definedName name="_11A114_" hidden="1">{#N/A,#N/A,TRUE,"목차";#N/A,#N/A,TRUE,"1.";#N/A,#N/A,TRUE,"2.";#N/A,#N/A,TRUE,"3.";#N/A,#N/A,TRUE,"4-1";#N/A,#N/A,TRUE,"-2";#N/A,#N/A,TRUE,"-3";#N/A,#N/A,TRUE,"-4";#N/A,#N/A,TRUE,"5-1";#N/A,#N/A,TRUE,"5-2";#N/A,#N/A,TRUE,"6-1";#N/A,#N/A,TRUE,"6-2";#N/A,#N/A,TRUE,"7-1";#N/A,#N/A,TRUE,"7-2";#N/A,#N/A,TRUE,"8.";#N/A,#N/A,TRUE,"9."}</definedName>
    <definedName name="_11el68_" hidden="1">{#N/A,#N/A,TRUE,"목차";#N/A,#N/A,TRUE,"1.";#N/A,#N/A,TRUE,"2.";#N/A,#N/A,TRUE,"3.";#N/A,#N/A,TRUE,"4-1";#N/A,#N/A,TRUE,"-2";#N/A,#N/A,TRUE,"-3";#N/A,#N/A,TRUE,"-4";#N/A,#N/A,TRUE,"5-1";#N/A,#N/A,TRUE,"5-2";#N/A,#N/A,TRUE,"6-1";#N/A,#N/A,TRUE,"6-2";#N/A,#N/A,TRUE,"7-1";#N/A,#N/A,TRUE,"7-2";#N/A,#N/A,TRUE,"8.";#N/A,#N/A,TRUE,"9."}</definedName>
    <definedName name="_121K440_" hidden="1">{#N/A,#N/A,TRUE,"LOADCOVE";#N/A,#N/A,TRUE,"PAGE001";#N/A,#N/A,TRUE,"PAGE002";#N/A,#N/A,TRUE,"PAGE003";#N/A,#N/A,TRUE,"PAGE004";#N/A,#N/A,TRUE,"PAGE005";#N/A,#N/A,TRUE,"PAGE006";#N/A,#N/A,TRUE,"PAGE007";#N/A,#N/A,TRUE,"PAGE008";#N/A,#N/A,TRUE,"PAGE009";#N/A,#N/A,TRUE,"PAGE010";#N/A,#N/A,TRUE,"PAGE011";#N/A,#N/A,TRUE,"PAGE012";#N/A,#N/A,TRUE,"PAGE013"}</definedName>
    <definedName name="_121n9_" hidden="1">{#N/A,#N/A,TRUE,"목차";#N/A,#N/A,TRUE,"1.";#N/A,#N/A,TRUE,"2.";#N/A,#N/A,TRUE,"3.";#N/A,#N/A,TRUE,"4-1";#N/A,#N/A,TRUE,"-2";#N/A,#N/A,TRUE,"-3";#N/A,#N/A,TRUE,"-4";#N/A,#N/A,TRUE,"5-1";#N/A,#N/A,TRUE,"5-2";#N/A,#N/A,TRUE,"6-1";#N/A,#N/A,TRUE,"6-2";#N/A,#N/A,TRUE,"7-1";#N/A,#N/A,TRUE,"7-2";#N/A,#N/A,TRUE,"8.";#N/A,#N/A,TRUE,"9."}</definedName>
    <definedName name="_123K4400_" hidden="1">{#N/A,#N/A,TRUE,"LOADCOVE";#N/A,#N/A,TRUE,"PAGE001";#N/A,#N/A,TRUE,"PAGE002";#N/A,#N/A,TRUE,"PAGE003";#N/A,#N/A,TRUE,"PAGE004";#N/A,#N/A,TRUE,"PAGE005";#N/A,#N/A,TRUE,"PAGE006";#N/A,#N/A,TRUE,"PAGE007";#N/A,#N/A,TRUE,"PAGE008";#N/A,#N/A,TRUE,"PAGE009";#N/A,#N/A,TRUE,"PAGE010";#N/A,#N/A,TRUE,"PAGE011";#N/A,#N/A,TRUE,"PAGE012";#N/A,#N/A,TRUE,"PAGE013"}</definedName>
    <definedName name="_123P1_" hidden="1">{#N/A,#N/A,TRUE,"목차";#N/A,#N/A,TRUE,"1.";#N/A,#N/A,TRUE,"2.";#N/A,#N/A,TRUE,"3.";#N/A,#N/A,TRUE,"4-1";#N/A,#N/A,TRUE,"-2";#N/A,#N/A,TRUE,"-3";#N/A,#N/A,TRUE,"-4";#N/A,#N/A,TRUE,"5-1";#N/A,#N/A,TRUE,"5-2";#N/A,#N/A,TRUE,"6-1";#N/A,#N/A,TRUE,"6-2";#N/A,#N/A,TRUE,"7-1";#N/A,#N/A,TRUE,"7-2";#N/A,#N/A,TRUE,"8.";#N/A,#N/A,TRUE,"9."}</definedName>
    <definedName name="_125K44000_" hidden="1">{#N/A,#N/A,TRUE,"LOADCOVE";#N/A,#N/A,TRUE,"PAGE001";#N/A,#N/A,TRUE,"PAGE002";#N/A,#N/A,TRUE,"PAGE003";#N/A,#N/A,TRUE,"PAGE004";#N/A,#N/A,TRUE,"PAGE005";#N/A,#N/A,TRUE,"PAGE006";#N/A,#N/A,TRUE,"PAGE007";#N/A,#N/A,TRUE,"PAGE008";#N/A,#N/A,TRUE,"PAGE009";#N/A,#N/A,TRUE,"PAGE010";#N/A,#N/A,TRUE,"PAGE011";#N/A,#N/A,TRUE,"PAGE012";#N/A,#N/A,TRUE,"PAGE013"}</definedName>
    <definedName name="_125P10_" hidden="1">{#N/A,#N/A,TRUE,"목차";#N/A,#N/A,TRUE,"1.";#N/A,#N/A,TRUE,"2.";#N/A,#N/A,TRUE,"3.";#N/A,#N/A,TRUE,"4-1";#N/A,#N/A,TRUE,"-2";#N/A,#N/A,TRUE,"-3";#N/A,#N/A,TRUE,"-4";#N/A,#N/A,TRUE,"5-1";#N/A,#N/A,TRUE,"5-2";#N/A,#N/A,TRUE,"6-1";#N/A,#N/A,TRUE,"6-2";#N/A,#N/A,TRUE,"7-1";#N/A,#N/A,TRUE,"7-2";#N/A,#N/A,TRUE,"8.";#N/A,#N/A,TRUE,"9."}</definedName>
    <definedName name="_127K44444_" hidden="1">{#N/A,#N/A,TRUE,"LOADCOVE";#N/A,#N/A,TRUE,"PAGE001";#N/A,#N/A,TRUE,"PAGE002";#N/A,#N/A,TRUE,"PAGE003";#N/A,#N/A,TRUE,"PAGE004";#N/A,#N/A,TRUE,"PAGE005";#N/A,#N/A,TRUE,"PAGE006";#N/A,#N/A,TRUE,"PAGE007";#N/A,#N/A,TRUE,"PAGE008";#N/A,#N/A,TRUE,"PAGE009";#N/A,#N/A,TRUE,"PAGE010";#N/A,#N/A,TRUE,"PAGE011";#N/A,#N/A,TRUE,"PAGE012";#N/A,#N/A,TRUE,"PAGE013"}</definedName>
    <definedName name="_127P2_" hidden="1">{#N/A,#N/A,TRUE,"목차";#N/A,#N/A,TRUE,"1.";#N/A,#N/A,TRUE,"2.";#N/A,#N/A,TRUE,"3.";#N/A,#N/A,TRUE,"4-1";#N/A,#N/A,TRUE,"-2";#N/A,#N/A,TRUE,"-3";#N/A,#N/A,TRUE,"-4";#N/A,#N/A,TRUE,"5-1";#N/A,#N/A,TRUE,"5-2";#N/A,#N/A,TRUE,"6-1";#N/A,#N/A,TRUE,"6-2";#N/A,#N/A,TRUE,"7-1";#N/A,#N/A,TRUE,"7-2";#N/A,#N/A,TRUE,"8.";#N/A,#N/A,TRUE,"9."}</definedName>
    <definedName name="_129K45_" hidden="1">{#N/A,#N/A,TRUE,"LOADCOVE";#N/A,#N/A,TRUE,"PAGE001";#N/A,#N/A,TRUE,"PAGE002";#N/A,#N/A,TRUE,"PAGE003";#N/A,#N/A,TRUE,"PAGE004";#N/A,#N/A,TRUE,"PAGE005";#N/A,#N/A,TRUE,"PAGE006";#N/A,#N/A,TRUE,"PAGE007";#N/A,#N/A,TRUE,"PAGE008";#N/A,#N/A,TRUE,"PAGE009";#N/A,#N/A,TRUE,"PAGE010";#N/A,#N/A,TRUE,"PAGE011";#N/A,#N/A,TRUE,"PAGE012";#N/A,#N/A,TRUE,"PAGE013"}</definedName>
    <definedName name="_129P3_" hidden="1">{#N/A,#N/A,TRUE,"목차";#N/A,#N/A,TRUE,"1.";#N/A,#N/A,TRUE,"2.";#N/A,#N/A,TRUE,"3.";#N/A,#N/A,TRUE,"4-1";#N/A,#N/A,TRUE,"-2";#N/A,#N/A,TRUE,"-3";#N/A,#N/A,TRUE,"-4";#N/A,#N/A,TRUE,"5-1";#N/A,#N/A,TRUE,"5-2";#N/A,#N/A,TRUE,"6-1";#N/A,#N/A,TRUE,"6-2";#N/A,#N/A,TRUE,"7-1";#N/A,#N/A,TRUE,"7-2";#N/A,#N/A,TRUE,"8.";#N/A,#N/A,TRUE,"9."}</definedName>
    <definedName name="_131K46_" hidden="1">{#N/A,#N/A,TRUE,"LOADCOVE";#N/A,#N/A,TRUE,"PAGE001";#N/A,#N/A,TRUE,"PAGE002";#N/A,#N/A,TRUE,"PAGE003";#N/A,#N/A,TRUE,"PAGE004";#N/A,#N/A,TRUE,"PAGE005";#N/A,#N/A,TRUE,"PAGE006";#N/A,#N/A,TRUE,"PAGE007";#N/A,#N/A,TRUE,"PAGE008";#N/A,#N/A,TRUE,"PAGE009";#N/A,#N/A,TRUE,"PAGE010";#N/A,#N/A,TRUE,"PAGE011";#N/A,#N/A,TRUE,"PAGE012";#N/A,#N/A,TRUE,"PAGE013"}</definedName>
    <definedName name="_131P4_" hidden="1">{#N/A,#N/A,TRUE,"목차";#N/A,#N/A,TRUE,"1.";#N/A,#N/A,TRUE,"2.";#N/A,#N/A,TRUE,"3.";#N/A,#N/A,TRUE,"4-1";#N/A,#N/A,TRUE,"-2";#N/A,#N/A,TRUE,"-3";#N/A,#N/A,TRUE,"-4";#N/A,#N/A,TRUE,"5-1";#N/A,#N/A,TRUE,"5-2";#N/A,#N/A,TRUE,"6-1";#N/A,#N/A,TRUE,"6-2";#N/A,#N/A,TRUE,"7-1";#N/A,#N/A,TRUE,"7-2";#N/A,#N/A,TRUE,"8.";#N/A,#N/A,TRUE,"9."}</definedName>
    <definedName name="_133K47_" hidden="1">{#N/A,#N/A,TRUE,"LOADCOVE";#N/A,#N/A,TRUE,"PAGE001";#N/A,#N/A,TRUE,"PAGE002";#N/A,#N/A,TRUE,"PAGE003";#N/A,#N/A,TRUE,"PAGE004";#N/A,#N/A,TRUE,"PAGE005";#N/A,#N/A,TRUE,"PAGE006";#N/A,#N/A,TRUE,"PAGE007";#N/A,#N/A,TRUE,"PAGE008";#N/A,#N/A,TRUE,"PAGE009";#N/A,#N/A,TRUE,"PAGE010";#N/A,#N/A,TRUE,"PAGE011";#N/A,#N/A,TRUE,"PAGE012";#N/A,#N/A,TRUE,"PAGE013"}</definedName>
    <definedName name="_133P5_" hidden="1">{#N/A,#N/A,TRUE,"목차";#N/A,#N/A,TRUE,"1.";#N/A,#N/A,TRUE,"2.";#N/A,#N/A,TRUE,"3.";#N/A,#N/A,TRUE,"4-1";#N/A,#N/A,TRUE,"-2";#N/A,#N/A,TRUE,"-3";#N/A,#N/A,TRUE,"-4";#N/A,#N/A,TRUE,"5-1";#N/A,#N/A,TRUE,"5-2";#N/A,#N/A,TRUE,"6-1";#N/A,#N/A,TRUE,"6-2";#N/A,#N/A,TRUE,"7-1";#N/A,#N/A,TRUE,"7-2";#N/A,#N/A,TRUE,"8.";#N/A,#N/A,TRUE,"9."}</definedName>
    <definedName name="_135K48_" hidden="1">{#N/A,#N/A,TRUE,"LOADCOVE";#N/A,#N/A,TRUE,"PAGE001";#N/A,#N/A,TRUE,"PAGE002";#N/A,#N/A,TRUE,"PAGE003";#N/A,#N/A,TRUE,"PAGE004";#N/A,#N/A,TRUE,"PAGE005";#N/A,#N/A,TRUE,"PAGE006";#N/A,#N/A,TRUE,"PAGE007";#N/A,#N/A,TRUE,"PAGE008";#N/A,#N/A,TRUE,"PAGE009";#N/A,#N/A,TRUE,"PAGE010";#N/A,#N/A,TRUE,"PAGE011";#N/A,#N/A,TRUE,"PAGE012";#N/A,#N/A,TRUE,"PAGE013"}</definedName>
    <definedName name="_135P6_" hidden="1">{#N/A,#N/A,TRUE,"목차";#N/A,#N/A,TRUE,"1.";#N/A,#N/A,TRUE,"2.";#N/A,#N/A,TRUE,"3.";#N/A,#N/A,TRUE,"4-1";#N/A,#N/A,TRUE,"-2";#N/A,#N/A,TRUE,"-3";#N/A,#N/A,TRUE,"-4";#N/A,#N/A,TRUE,"5-1";#N/A,#N/A,TRUE,"5-2";#N/A,#N/A,TRUE,"6-1";#N/A,#N/A,TRUE,"6-2";#N/A,#N/A,TRUE,"7-1";#N/A,#N/A,TRUE,"7-2";#N/A,#N/A,TRUE,"8.";#N/A,#N/A,TRUE,"9."}</definedName>
    <definedName name="_137K4800_" hidden="1">{#N/A,#N/A,TRUE,"LOADCOVE";#N/A,#N/A,TRUE,"PAGE001";#N/A,#N/A,TRUE,"PAGE002";#N/A,#N/A,TRUE,"PAGE003";#N/A,#N/A,TRUE,"PAGE004";#N/A,#N/A,TRUE,"PAGE005";#N/A,#N/A,TRUE,"PAGE006";#N/A,#N/A,TRUE,"PAGE007";#N/A,#N/A,TRUE,"PAGE008";#N/A,#N/A,TRUE,"PAGE009";#N/A,#N/A,TRUE,"PAGE010";#N/A,#N/A,TRUE,"PAGE011";#N/A,#N/A,TRUE,"PAGE012";#N/A,#N/A,TRUE,"PAGE013"}</definedName>
    <definedName name="_137P7_" hidden="1">{#N/A,#N/A,TRUE,"목차";#N/A,#N/A,TRUE,"1.";#N/A,#N/A,TRUE,"2.";#N/A,#N/A,TRUE,"3.";#N/A,#N/A,TRUE,"4-1";#N/A,#N/A,TRUE,"-2";#N/A,#N/A,TRUE,"-3";#N/A,#N/A,TRUE,"-4";#N/A,#N/A,TRUE,"5-1";#N/A,#N/A,TRUE,"5-2";#N/A,#N/A,TRUE,"6-1";#N/A,#N/A,TRUE,"6-2";#N/A,#N/A,TRUE,"7-1";#N/A,#N/A,TRUE,"7-2";#N/A,#N/A,TRUE,"8.";#N/A,#N/A,TRUE,"9."}</definedName>
    <definedName name="_139K48008_" hidden="1">{#N/A,#N/A,TRUE,"LOADCOVE";#N/A,#N/A,TRUE,"PAGE001";#N/A,#N/A,TRUE,"PAGE002";#N/A,#N/A,TRUE,"PAGE003";#N/A,#N/A,TRUE,"PAGE004";#N/A,#N/A,TRUE,"PAGE005";#N/A,#N/A,TRUE,"PAGE006";#N/A,#N/A,TRUE,"PAGE007";#N/A,#N/A,TRUE,"PAGE008";#N/A,#N/A,TRUE,"PAGE009";#N/A,#N/A,TRUE,"PAGE010";#N/A,#N/A,TRUE,"PAGE011";#N/A,#N/A,TRUE,"PAGE012";#N/A,#N/A,TRUE,"PAGE013"}</definedName>
    <definedName name="_139P8_" hidden="1">{#N/A,#N/A,TRUE,"목차";#N/A,#N/A,TRUE,"1.";#N/A,#N/A,TRUE,"2.";#N/A,#N/A,TRUE,"3.";#N/A,#N/A,TRUE,"4-1";#N/A,#N/A,TRUE,"-2";#N/A,#N/A,TRUE,"-3";#N/A,#N/A,TRUE,"-4";#N/A,#N/A,TRUE,"5-1";#N/A,#N/A,TRUE,"5-2";#N/A,#N/A,TRUE,"6-1";#N/A,#N/A,TRUE,"6-2";#N/A,#N/A,TRUE,"7-1";#N/A,#N/A,TRUE,"7-2";#N/A,#N/A,TRUE,"8.";#N/A,#N/A,TRUE,"9."}</definedName>
    <definedName name="_13A112_" hidden="1">{#N/A,#N/A,TRUE,"목차";#N/A,#N/A,TRUE,"1.";#N/A,#N/A,TRUE,"2.";#N/A,#N/A,TRUE,"3.";#N/A,#N/A,TRUE,"4-1";#N/A,#N/A,TRUE,"-2";#N/A,#N/A,TRUE,"-3";#N/A,#N/A,TRUE,"-4";#N/A,#N/A,TRUE,"5-1";#N/A,#N/A,TRUE,"5-2";#N/A,#N/A,TRUE,"6-1";#N/A,#N/A,TRUE,"6-2";#N/A,#N/A,TRUE,"7-1";#N/A,#N/A,TRUE,"7-2";#N/A,#N/A,TRUE,"8.";#N/A,#N/A,TRUE,"9."}</definedName>
    <definedName name="_13A115_" hidden="1">{#N/A,#N/A,TRUE,"목차";#N/A,#N/A,TRUE,"1.";#N/A,#N/A,TRUE,"2.";#N/A,#N/A,TRUE,"3.";#N/A,#N/A,TRUE,"4-1";#N/A,#N/A,TRUE,"-2";#N/A,#N/A,TRUE,"-3";#N/A,#N/A,TRUE,"-4";#N/A,#N/A,TRUE,"5-1";#N/A,#N/A,TRUE,"5-2";#N/A,#N/A,TRUE,"6-1";#N/A,#N/A,TRUE,"6-2";#N/A,#N/A,TRUE,"7-1";#N/A,#N/A,TRUE,"7-2";#N/A,#N/A,TRUE,"8.";#N/A,#N/A,TRUE,"9."}</definedName>
    <definedName name="_13k1_" hidden="1">{#N/A,#N/A,TRUE,"목차";#N/A,#N/A,TRUE,"1.";#N/A,#N/A,TRUE,"2.";#N/A,#N/A,TRUE,"3.";#N/A,#N/A,TRUE,"4-1";#N/A,#N/A,TRUE,"-2";#N/A,#N/A,TRUE,"-3";#N/A,#N/A,TRUE,"-4";#N/A,#N/A,TRUE,"5-1";#N/A,#N/A,TRUE,"5-2";#N/A,#N/A,TRUE,"6-1";#N/A,#N/A,TRUE,"6-2";#N/A,#N/A,TRUE,"7-1";#N/A,#N/A,TRUE,"7-2";#N/A,#N/A,TRUE,"8.";#N/A,#N/A,TRUE,"9."}</definedName>
    <definedName name="_141K488_" hidden="1">{#N/A,#N/A,TRUE,"LOADCOVE";#N/A,#N/A,TRUE,"PAGE001";#N/A,#N/A,TRUE,"PAGE002";#N/A,#N/A,TRUE,"PAGE003";#N/A,#N/A,TRUE,"PAGE004";#N/A,#N/A,TRUE,"PAGE005";#N/A,#N/A,TRUE,"PAGE006";#N/A,#N/A,TRUE,"PAGE007";#N/A,#N/A,TRUE,"PAGE008";#N/A,#N/A,TRUE,"PAGE009";#N/A,#N/A,TRUE,"PAGE010";#N/A,#N/A,TRUE,"PAGE011";#N/A,#N/A,TRUE,"PAGE012";#N/A,#N/A,TRUE,"PAGE013"}</definedName>
    <definedName name="_141P9_" hidden="1">{#N/A,#N/A,TRUE,"목차";#N/A,#N/A,TRUE,"1.";#N/A,#N/A,TRUE,"2.";#N/A,#N/A,TRUE,"3.";#N/A,#N/A,TRUE,"4-1";#N/A,#N/A,TRUE,"-2";#N/A,#N/A,TRUE,"-3";#N/A,#N/A,TRUE,"-4";#N/A,#N/A,TRUE,"5-1";#N/A,#N/A,TRUE,"5-2";#N/A,#N/A,TRUE,"6-1";#N/A,#N/A,TRUE,"6-2";#N/A,#N/A,TRUE,"7-1";#N/A,#N/A,TRUE,"7-2";#N/A,#N/A,TRUE,"8.";#N/A,#N/A,TRUE,"9."}</definedName>
    <definedName name="_143K4888_" hidden="1">{#N/A,#N/A,TRUE,"LOADCOVE";#N/A,#N/A,TRUE,"PAGE001";#N/A,#N/A,TRUE,"PAGE002";#N/A,#N/A,TRUE,"PAGE003";#N/A,#N/A,TRUE,"PAGE004";#N/A,#N/A,TRUE,"PAGE005";#N/A,#N/A,TRUE,"PAGE006";#N/A,#N/A,TRUE,"PAGE007";#N/A,#N/A,TRUE,"PAGE008";#N/A,#N/A,TRUE,"PAGE009";#N/A,#N/A,TRUE,"PAGE010";#N/A,#N/A,TRUE,"PAGE011";#N/A,#N/A,TRUE,"PAGE012";#N/A,#N/A,TRUE,"PAGE013"}</definedName>
    <definedName name="_143Q1_" hidden="1">{#N/A,#N/A,TRUE,"목차";#N/A,#N/A,TRUE,"1.";#N/A,#N/A,TRUE,"2.";#N/A,#N/A,TRUE,"3.";#N/A,#N/A,TRUE,"4-1";#N/A,#N/A,TRUE,"-2";#N/A,#N/A,TRUE,"-3";#N/A,#N/A,TRUE,"-4";#N/A,#N/A,TRUE,"5-1";#N/A,#N/A,TRUE,"5-2";#N/A,#N/A,TRUE,"6-1";#N/A,#N/A,TRUE,"6-2";#N/A,#N/A,TRUE,"7-1";#N/A,#N/A,TRUE,"7-2";#N/A,#N/A,TRUE,"8.";#N/A,#N/A,TRUE,"9."}</definedName>
    <definedName name="_145Q10_" hidden="1">{#N/A,#N/A,TRUE,"목차";#N/A,#N/A,TRUE,"1.";#N/A,#N/A,TRUE,"2.";#N/A,#N/A,TRUE,"3.";#N/A,#N/A,TRUE,"4-1";#N/A,#N/A,TRUE,"-2";#N/A,#N/A,TRUE,"-3";#N/A,#N/A,TRUE,"-4";#N/A,#N/A,TRUE,"5-1";#N/A,#N/A,TRUE,"5-2";#N/A,#N/A,TRUE,"6-1";#N/A,#N/A,TRUE,"6-2";#N/A,#N/A,TRUE,"7-1";#N/A,#N/A,TRUE,"7-2";#N/A,#N/A,TRUE,"8.";#N/A,#N/A,TRUE,"9."}</definedName>
    <definedName name="_147q11_" hidden="1">{#N/A,#N/A,TRUE,"목차";#N/A,#N/A,TRUE,"1.";#N/A,#N/A,TRUE,"2.";#N/A,#N/A,TRUE,"3.";#N/A,#N/A,TRUE,"4-1";#N/A,#N/A,TRUE,"-2";#N/A,#N/A,TRUE,"-3";#N/A,#N/A,TRUE,"-4";#N/A,#N/A,TRUE,"5-1";#N/A,#N/A,TRUE,"5-2";#N/A,#N/A,TRUE,"6-1";#N/A,#N/A,TRUE,"6-2";#N/A,#N/A,TRUE,"7-1";#N/A,#N/A,TRUE,"7-2";#N/A,#N/A,TRUE,"8.";#N/A,#N/A,TRUE,"9."}</definedName>
    <definedName name="_149q12_" hidden="1">{#N/A,#N/A,TRUE,"목차";#N/A,#N/A,TRUE,"1.";#N/A,#N/A,TRUE,"2.";#N/A,#N/A,TRUE,"3.";#N/A,#N/A,TRUE,"4-1";#N/A,#N/A,TRUE,"-2";#N/A,#N/A,TRUE,"-3";#N/A,#N/A,TRUE,"-4";#N/A,#N/A,TRUE,"5-1";#N/A,#N/A,TRUE,"5-2";#N/A,#N/A,TRUE,"6-1";#N/A,#N/A,TRUE,"6-2";#N/A,#N/A,TRUE,"7-1";#N/A,#N/A,TRUE,"7-2";#N/A,#N/A,TRUE,"8.";#N/A,#N/A,TRUE,"9."}</definedName>
    <definedName name="_151q13_" hidden="1">{#N/A,#N/A,TRUE,"목차";#N/A,#N/A,TRUE,"1.";#N/A,#N/A,TRUE,"2.";#N/A,#N/A,TRUE,"3.";#N/A,#N/A,TRUE,"4-1";#N/A,#N/A,TRUE,"-2";#N/A,#N/A,TRUE,"-3";#N/A,#N/A,TRUE,"-4";#N/A,#N/A,TRUE,"5-1";#N/A,#N/A,TRUE,"5-2";#N/A,#N/A,TRUE,"6-1";#N/A,#N/A,TRUE,"6-2";#N/A,#N/A,TRUE,"7-1";#N/A,#N/A,TRUE,"7-2";#N/A,#N/A,TRUE,"8.";#N/A,#N/A,TRUE,"9."}</definedName>
    <definedName name="_153q14_" hidden="1">{#N/A,#N/A,TRUE,"목차";#N/A,#N/A,TRUE,"1.";#N/A,#N/A,TRUE,"2.";#N/A,#N/A,TRUE,"3.";#N/A,#N/A,TRUE,"4-1";#N/A,#N/A,TRUE,"-2";#N/A,#N/A,TRUE,"-3";#N/A,#N/A,TRUE,"-4";#N/A,#N/A,TRUE,"5-1";#N/A,#N/A,TRUE,"5-2";#N/A,#N/A,TRUE,"6-1";#N/A,#N/A,TRUE,"6-2";#N/A,#N/A,TRUE,"7-1";#N/A,#N/A,TRUE,"7-2";#N/A,#N/A,TRUE,"8.";#N/A,#N/A,TRUE,"9."}</definedName>
    <definedName name="_155q15_" hidden="1">{#N/A,#N/A,TRUE,"목차";#N/A,#N/A,TRUE,"1.";#N/A,#N/A,TRUE,"2.";#N/A,#N/A,TRUE,"3.";#N/A,#N/A,TRUE,"4-1";#N/A,#N/A,TRUE,"-2";#N/A,#N/A,TRUE,"-3";#N/A,#N/A,TRUE,"-4";#N/A,#N/A,TRUE,"5-1";#N/A,#N/A,TRUE,"5-2";#N/A,#N/A,TRUE,"6-1";#N/A,#N/A,TRUE,"6-2";#N/A,#N/A,TRUE,"7-1";#N/A,#N/A,TRUE,"7-2";#N/A,#N/A,TRUE,"8.";#N/A,#N/A,TRUE,"9."}</definedName>
    <definedName name="_157q16_" hidden="1">{#N/A,#N/A,TRUE,"목차";#N/A,#N/A,TRUE,"1.";#N/A,#N/A,TRUE,"2.";#N/A,#N/A,TRUE,"3.";#N/A,#N/A,TRUE,"4-1";#N/A,#N/A,TRUE,"-2";#N/A,#N/A,TRUE,"-3";#N/A,#N/A,TRUE,"-4";#N/A,#N/A,TRUE,"5-1";#N/A,#N/A,TRUE,"5-2";#N/A,#N/A,TRUE,"6-1";#N/A,#N/A,TRUE,"6-2";#N/A,#N/A,TRUE,"7-1";#N/A,#N/A,TRUE,"7-2";#N/A,#N/A,TRUE,"8.";#N/A,#N/A,TRUE,"9."}</definedName>
    <definedName name="_159q17_" hidden="1">{#N/A,#N/A,TRUE,"목차";#N/A,#N/A,TRUE,"1.";#N/A,#N/A,TRUE,"2.";#N/A,#N/A,TRUE,"3.";#N/A,#N/A,TRUE,"4-1";#N/A,#N/A,TRUE,"-2";#N/A,#N/A,TRUE,"-3";#N/A,#N/A,TRUE,"-4";#N/A,#N/A,TRUE,"5-1";#N/A,#N/A,TRUE,"5-2";#N/A,#N/A,TRUE,"6-1";#N/A,#N/A,TRUE,"6-2";#N/A,#N/A,TRUE,"7-1";#N/A,#N/A,TRUE,"7-2";#N/A,#N/A,TRUE,"8.";#N/A,#N/A,TRUE,"9."}</definedName>
    <definedName name="_15A113_" hidden="1">{#N/A,#N/A,TRUE,"목차";#N/A,#N/A,TRUE,"1.";#N/A,#N/A,TRUE,"2.";#N/A,#N/A,TRUE,"3.";#N/A,#N/A,TRUE,"4-1";#N/A,#N/A,TRUE,"-2";#N/A,#N/A,TRUE,"-3";#N/A,#N/A,TRUE,"-4";#N/A,#N/A,TRUE,"5-1";#N/A,#N/A,TRUE,"5-2";#N/A,#N/A,TRUE,"6-1";#N/A,#N/A,TRUE,"6-2";#N/A,#N/A,TRUE,"7-1";#N/A,#N/A,TRUE,"7-2";#N/A,#N/A,TRUE,"8.";#N/A,#N/A,TRUE,"9."}</definedName>
    <definedName name="_161Q2_" hidden="1">{#N/A,#N/A,TRUE,"목차";#N/A,#N/A,TRUE,"1.";#N/A,#N/A,TRUE,"2.";#N/A,#N/A,TRUE,"3.";#N/A,#N/A,TRUE,"4-1";#N/A,#N/A,TRUE,"-2";#N/A,#N/A,TRUE,"-3";#N/A,#N/A,TRUE,"-4";#N/A,#N/A,TRUE,"5-1";#N/A,#N/A,TRUE,"5-2";#N/A,#N/A,TRUE,"6-1";#N/A,#N/A,TRUE,"6-2";#N/A,#N/A,TRUE,"7-1";#N/A,#N/A,TRUE,"7-2";#N/A,#N/A,TRUE,"8.";#N/A,#N/A,TRUE,"9."}</definedName>
    <definedName name="_163Q3_" hidden="1">{#N/A,#N/A,TRUE,"목차";#N/A,#N/A,TRUE,"1.";#N/A,#N/A,TRUE,"2.";#N/A,#N/A,TRUE,"3.";#N/A,#N/A,TRUE,"4-1";#N/A,#N/A,TRUE,"-2";#N/A,#N/A,TRUE,"-3";#N/A,#N/A,TRUE,"-4";#N/A,#N/A,TRUE,"5-1";#N/A,#N/A,TRUE,"5-2";#N/A,#N/A,TRUE,"6-1";#N/A,#N/A,TRUE,"6-2";#N/A,#N/A,TRUE,"7-1";#N/A,#N/A,TRUE,"7-2";#N/A,#N/A,TRUE,"8.";#N/A,#N/A,TRUE,"9."}</definedName>
    <definedName name="_165Q4_" hidden="1">{#N/A,#N/A,TRUE,"목차";#N/A,#N/A,TRUE,"1.";#N/A,#N/A,TRUE,"2.";#N/A,#N/A,TRUE,"3.";#N/A,#N/A,TRUE,"4-1";#N/A,#N/A,TRUE,"-2";#N/A,#N/A,TRUE,"-3";#N/A,#N/A,TRUE,"-4";#N/A,#N/A,TRUE,"5-1";#N/A,#N/A,TRUE,"5-2";#N/A,#N/A,TRUE,"6-1";#N/A,#N/A,TRUE,"6-2";#N/A,#N/A,TRUE,"7-1";#N/A,#N/A,TRUE,"7-2";#N/A,#N/A,TRUE,"8.";#N/A,#N/A,TRUE,"9."}</definedName>
    <definedName name="_167q5_" hidden="1">{#N/A,#N/A,TRUE,"목차";#N/A,#N/A,TRUE,"1.";#N/A,#N/A,TRUE,"2.";#N/A,#N/A,TRUE,"3.";#N/A,#N/A,TRUE,"4-1";#N/A,#N/A,TRUE,"-2";#N/A,#N/A,TRUE,"-3";#N/A,#N/A,TRUE,"-4";#N/A,#N/A,TRUE,"5-1";#N/A,#N/A,TRUE,"5-2";#N/A,#N/A,TRUE,"6-1";#N/A,#N/A,TRUE,"6-2";#N/A,#N/A,TRUE,"7-1";#N/A,#N/A,TRUE,"7-2";#N/A,#N/A,TRUE,"8.";#N/A,#N/A,TRUE,"9."}</definedName>
    <definedName name="_169Q6_" hidden="1">{#N/A,#N/A,TRUE,"목차";#N/A,#N/A,TRUE,"1.";#N/A,#N/A,TRUE,"2.";#N/A,#N/A,TRUE,"3.";#N/A,#N/A,TRUE,"4-1";#N/A,#N/A,TRUE,"-2";#N/A,#N/A,TRUE,"-3";#N/A,#N/A,TRUE,"-4";#N/A,#N/A,TRUE,"5-1";#N/A,#N/A,TRUE,"5-2";#N/A,#N/A,TRUE,"6-1";#N/A,#N/A,TRUE,"6-2";#N/A,#N/A,TRUE,"7-1";#N/A,#N/A,TRUE,"7-2";#N/A,#N/A,TRUE,"8.";#N/A,#N/A,TRUE,"9."}</definedName>
    <definedName name="_171Q7_" hidden="1">{#N/A,#N/A,TRUE,"목차";#N/A,#N/A,TRUE,"1.";#N/A,#N/A,TRUE,"2.";#N/A,#N/A,TRUE,"3.";#N/A,#N/A,TRUE,"4-1";#N/A,#N/A,TRUE,"-2";#N/A,#N/A,TRUE,"-3";#N/A,#N/A,TRUE,"-4";#N/A,#N/A,TRUE,"5-1";#N/A,#N/A,TRUE,"5-2";#N/A,#N/A,TRUE,"6-1";#N/A,#N/A,TRUE,"6-2";#N/A,#N/A,TRUE,"7-1";#N/A,#N/A,TRUE,"7-2";#N/A,#N/A,TRUE,"8.";#N/A,#N/A,TRUE,"9."}</definedName>
    <definedName name="_173Q8_" hidden="1">{#N/A,#N/A,TRUE,"목차";#N/A,#N/A,TRUE,"1.";#N/A,#N/A,TRUE,"2.";#N/A,#N/A,TRUE,"3.";#N/A,#N/A,TRUE,"4-1";#N/A,#N/A,TRUE,"-2";#N/A,#N/A,TRUE,"-3";#N/A,#N/A,TRUE,"-4";#N/A,#N/A,TRUE,"5-1";#N/A,#N/A,TRUE,"5-2";#N/A,#N/A,TRUE,"6-1";#N/A,#N/A,TRUE,"6-2";#N/A,#N/A,TRUE,"7-1";#N/A,#N/A,TRUE,"7-2";#N/A,#N/A,TRUE,"8.";#N/A,#N/A,TRUE,"9."}</definedName>
    <definedName name="_175Q9_" hidden="1">{#N/A,#N/A,TRUE,"목차";#N/A,#N/A,TRUE,"1.";#N/A,#N/A,TRUE,"2.";#N/A,#N/A,TRUE,"3.";#N/A,#N/A,TRUE,"4-1";#N/A,#N/A,TRUE,"-2";#N/A,#N/A,TRUE,"-3";#N/A,#N/A,TRUE,"-4";#N/A,#N/A,TRUE,"5-1";#N/A,#N/A,TRUE,"5-2";#N/A,#N/A,TRUE,"6-1";#N/A,#N/A,TRUE,"6-2";#N/A,#N/A,TRUE,"7-1";#N/A,#N/A,TRUE,"7-2";#N/A,#N/A,TRUE,"8.";#N/A,#N/A,TRUE,"9."}</definedName>
    <definedName name="_177V1_" hidden="1">{#N/A,#N/A,TRUE,"목차";#N/A,#N/A,TRUE,"1.";#N/A,#N/A,TRUE,"2.";#N/A,#N/A,TRUE,"3.";#N/A,#N/A,TRUE,"4-1";#N/A,#N/A,TRUE,"-2";#N/A,#N/A,TRUE,"-3";#N/A,#N/A,TRUE,"-4";#N/A,#N/A,TRUE,"5-1";#N/A,#N/A,TRUE,"5-2";#N/A,#N/A,TRUE,"6-1";#N/A,#N/A,TRUE,"6-2";#N/A,#N/A,TRUE,"7-1";#N/A,#N/A,TRUE,"7-2";#N/A,#N/A,TRUE,"8.";#N/A,#N/A,TRUE,"9."}</definedName>
    <definedName name="_179v10_" hidden="1">{#N/A,#N/A,TRUE,"목차";#N/A,#N/A,TRUE,"1.";#N/A,#N/A,TRUE,"2.";#N/A,#N/A,TRUE,"3.";#N/A,#N/A,TRUE,"4-1";#N/A,#N/A,TRUE,"-2";#N/A,#N/A,TRUE,"-3";#N/A,#N/A,TRUE,"-4";#N/A,#N/A,TRUE,"5-1";#N/A,#N/A,TRUE,"5-2";#N/A,#N/A,TRUE,"6-1";#N/A,#N/A,TRUE,"6-2";#N/A,#N/A,TRUE,"7-1";#N/A,#N/A,TRUE,"7-2";#N/A,#N/A,TRUE,"8.";#N/A,#N/A,TRUE,"9."}</definedName>
    <definedName name="_17A114_" hidden="1">{#N/A,#N/A,TRUE,"목차";#N/A,#N/A,TRUE,"1.";#N/A,#N/A,TRUE,"2.";#N/A,#N/A,TRUE,"3.";#N/A,#N/A,TRUE,"4-1";#N/A,#N/A,TRUE,"-2";#N/A,#N/A,TRUE,"-3";#N/A,#N/A,TRUE,"-4";#N/A,#N/A,TRUE,"5-1";#N/A,#N/A,TRUE,"5-2";#N/A,#N/A,TRUE,"6-1";#N/A,#N/A,TRUE,"6-2";#N/A,#N/A,TRUE,"7-1";#N/A,#N/A,TRUE,"7-2";#N/A,#N/A,TRUE,"8.";#N/A,#N/A,TRUE,"9."}</definedName>
    <definedName name="_181v11_" hidden="1">{#N/A,#N/A,TRUE,"목차";#N/A,#N/A,TRUE,"1.";#N/A,#N/A,TRUE,"2.";#N/A,#N/A,TRUE,"3.";#N/A,#N/A,TRUE,"4-1";#N/A,#N/A,TRUE,"-2";#N/A,#N/A,TRUE,"-3";#N/A,#N/A,TRUE,"-4";#N/A,#N/A,TRUE,"5-1";#N/A,#N/A,TRUE,"5-2";#N/A,#N/A,TRUE,"6-1";#N/A,#N/A,TRUE,"6-2";#N/A,#N/A,TRUE,"7-1";#N/A,#N/A,TRUE,"7-2";#N/A,#N/A,TRUE,"8.";#N/A,#N/A,TRUE,"9."}</definedName>
    <definedName name="_183v12_" hidden="1">{#N/A,#N/A,TRUE,"목차";#N/A,#N/A,TRUE,"1.";#N/A,#N/A,TRUE,"2.";#N/A,#N/A,TRUE,"3.";#N/A,#N/A,TRUE,"4-1";#N/A,#N/A,TRUE,"-2";#N/A,#N/A,TRUE,"-3";#N/A,#N/A,TRUE,"-4";#N/A,#N/A,TRUE,"5-1";#N/A,#N/A,TRUE,"5-2";#N/A,#N/A,TRUE,"6-1";#N/A,#N/A,TRUE,"6-2";#N/A,#N/A,TRUE,"7-1";#N/A,#N/A,TRUE,"7-2";#N/A,#N/A,TRUE,"8.";#N/A,#N/A,TRUE,"9."}</definedName>
    <definedName name="_185v21_" hidden="1">{#N/A,#N/A,TRUE,"목차";#N/A,#N/A,TRUE,"1.";#N/A,#N/A,TRUE,"2.";#N/A,#N/A,TRUE,"3.";#N/A,#N/A,TRUE,"4-1";#N/A,#N/A,TRUE,"-2";#N/A,#N/A,TRUE,"-3";#N/A,#N/A,TRUE,"-4";#N/A,#N/A,TRUE,"5-1";#N/A,#N/A,TRUE,"5-2";#N/A,#N/A,TRUE,"6-1";#N/A,#N/A,TRUE,"6-2";#N/A,#N/A,TRUE,"7-1";#N/A,#N/A,TRUE,"7-2";#N/A,#N/A,TRUE,"8.";#N/A,#N/A,TRUE,"9."}</definedName>
    <definedName name="_187v23_" hidden="1">{#N/A,#N/A,TRUE,"목차";#N/A,#N/A,TRUE,"1.";#N/A,#N/A,TRUE,"2.";#N/A,#N/A,TRUE,"3.";#N/A,#N/A,TRUE,"4-1";#N/A,#N/A,TRUE,"-2";#N/A,#N/A,TRUE,"-3";#N/A,#N/A,TRUE,"-4";#N/A,#N/A,TRUE,"5-1";#N/A,#N/A,TRUE,"5-2";#N/A,#N/A,TRUE,"6-1";#N/A,#N/A,TRUE,"6-2";#N/A,#N/A,TRUE,"7-1";#N/A,#N/A,TRUE,"7-2";#N/A,#N/A,TRUE,"8.";#N/A,#N/A,TRUE,"9."}</definedName>
    <definedName name="_189v24_" hidden="1">{#N/A,#N/A,TRUE,"목차";#N/A,#N/A,TRUE,"1.";#N/A,#N/A,TRUE,"2.";#N/A,#N/A,TRUE,"3.";#N/A,#N/A,TRUE,"4-1";#N/A,#N/A,TRUE,"-2";#N/A,#N/A,TRUE,"-3";#N/A,#N/A,TRUE,"-4";#N/A,#N/A,TRUE,"5-1";#N/A,#N/A,TRUE,"5-2";#N/A,#N/A,TRUE,"6-1";#N/A,#N/A,TRUE,"6-2";#N/A,#N/A,TRUE,"7-1";#N/A,#N/A,TRUE,"7-2";#N/A,#N/A,TRUE,"8.";#N/A,#N/A,TRUE,"9."}</definedName>
    <definedName name="_191v25_" hidden="1">{#N/A,#N/A,TRUE,"목차";#N/A,#N/A,TRUE,"1.";#N/A,#N/A,TRUE,"2.";#N/A,#N/A,TRUE,"3.";#N/A,#N/A,TRUE,"4-1";#N/A,#N/A,TRUE,"-2";#N/A,#N/A,TRUE,"-3";#N/A,#N/A,TRUE,"-4";#N/A,#N/A,TRUE,"5-1";#N/A,#N/A,TRUE,"5-2";#N/A,#N/A,TRUE,"6-1";#N/A,#N/A,TRUE,"6-2";#N/A,#N/A,TRUE,"7-1";#N/A,#N/A,TRUE,"7-2";#N/A,#N/A,TRUE,"8.";#N/A,#N/A,TRUE,"9."}</definedName>
    <definedName name="_193v29_" hidden="1">{#N/A,#N/A,TRUE,"목차";#N/A,#N/A,TRUE,"1.";#N/A,#N/A,TRUE,"2.";#N/A,#N/A,TRUE,"3.";#N/A,#N/A,TRUE,"4-1";#N/A,#N/A,TRUE,"-2";#N/A,#N/A,TRUE,"-3";#N/A,#N/A,TRUE,"-4";#N/A,#N/A,TRUE,"5-1";#N/A,#N/A,TRUE,"5-2";#N/A,#N/A,TRUE,"6-1";#N/A,#N/A,TRUE,"6-2";#N/A,#N/A,TRUE,"7-1";#N/A,#N/A,TRUE,"7-2";#N/A,#N/A,TRUE,"8.";#N/A,#N/A,TRUE,"9."}</definedName>
    <definedName name="_195v3_" hidden="1">{#N/A,#N/A,TRUE,"목차";#N/A,#N/A,TRUE,"1.";#N/A,#N/A,TRUE,"2.";#N/A,#N/A,TRUE,"3.";#N/A,#N/A,TRUE,"4-1";#N/A,#N/A,TRUE,"-2";#N/A,#N/A,TRUE,"-3";#N/A,#N/A,TRUE,"-4";#N/A,#N/A,TRUE,"5-1";#N/A,#N/A,TRUE,"5-2";#N/A,#N/A,TRUE,"6-1";#N/A,#N/A,TRUE,"6-2";#N/A,#N/A,TRUE,"7-1";#N/A,#N/A,TRUE,"7-2";#N/A,#N/A,TRUE,"8.";#N/A,#N/A,TRUE,"9."}</definedName>
    <definedName name="_197v4_" hidden="1">{#N/A,#N/A,TRUE,"목차";#N/A,#N/A,TRUE,"1.";#N/A,#N/A,TRUE,"2.";#N/A,#N/A,TRUE,"3.";#N/A,#N/A,TRUE,"4-1";#N/A,#N/A,TRUE,"-2";#N/A,#N/A,TRUE,"-3";#N/A,#N/A,TRUE,"-4";#N/A,#N/A,TRUE,"5-1";#N/A,#N/A,TRUE,"5-2";#N/A,#N/A,TRUE,"6-1";#N/A,#N/A,TRUE,"6-2";#N/A,#N/A,TRUE,"7-1";#N/A,#N/A,TRUE,"7-2";#N/A,#N/A,TRUE,"8.";#N/A,#N/A,TRUE,"9."}</definedName>
    <definedName name="_199v5_" hidden="1">{#N/A,#N/A,TRUE,"목차";#N/A,#N/A,TRUE,"1.";#N/A,#N/A,TRUE,"2.";#N/A,#N/A,TRUE,"3.";#N/A,#N/A,TRUE,"4-1";#N/A,#N/A,TRUE,"-2";#N/A,#N/A,TRUE,"-3";#N/A,#N/A,TRUE,"-4";#N/A,#N/A,TRUE,"5-1";#N/A,#N/A,TRUE,"5-2";#N/A,#N/A,TRUE,"6-1";#N/A,#N/A,TRUE,"6-2";#N/A,#N/A,TRUE,"7-1";#N/A,#N/A,TRUE,"7-2";#N/A,#N/A,TRUE,"8.";#N/A,#N/A,TRUE,"9."}</definedName>
    <definedName name="_19A115_" hidden="1">{#N/A,#N/A,TRUE,"목차";#N/A,#N/A,TRUE,"1.";#N/A,#N/A,TRUE,"2.";#N/A,#N/A,TRUE,"3.";#N/A,#N/A,TRUE,"4-1";#N/A,#N/A,TRUE,"-2";#N/A,#N/A,TRUE,"-3";#N/A,#N/A,TRUE,"-4";#N/A,#N/A,TRUE,"5-1";#N/A,#N/A,TRUE,"5-2";#N/A,#N/A,TRUE,"6-1";#N/A,#N/A,TRUE,"6-2";#N/A,#N/A,TRUE,"7-1";#N/A,#N/A,TRUE,"7-2";#N/A,#N/A,TRUE,"8.";#N/A,#N/A,TRUE,"9."}</definedName>
    <definedName name="_2__123Graph_BCHART_1" hidden="1">#REF!</definedName>
    <definedName name="_201v6_" hidden="1">{#N/A,#N/A,TRUE,"목차";#N/A,#N/A,TRUE,"1.";#N/A,#N/A,TRUE,"2.";#N/A,#N/A,TRUE,"3.";#N/A,#N/A,TRUE,"4-1";#N/A,#N/A,TRUE,"-2";#N/A,#N/A,TRUE,"-3";#N/A,#N/A,TRUE,"-4";#N/A,#N/A,TRUE,"5-1";#N/A,#N/A,TRUE,"5-2";#N/A,#N/A,TRUE,"6-1";#N/A,#N/A,TRUE,"6-2";#N/A,#N/A,TRUE,"7-1";#N/A,#N/A,TRUE,"7-2";#N/A,#N/A,TRUE,"8.";#N/A,#N/A,TRUE,"9."}</definedName>
    <definedName name="_203v7_" hidden="1">{#N/A,#N/A,TRUE,"목차";#N/A,#N/A,TRUE,"1.";#N/A,#N/A,TRUE,"2.";#N/A,#N/A,TRUE,"3.";#N/A,#N/A,TRUE,"4-1";#N/A,#N/A,TRUE,"-2";#N/A,#N/A,TRUE,"-3";#N/A,#N/A,TRUE,"-4";#N/A,#N/A,TRUE,"5-1";#N/A,#N/A,TRUE,"5-2";#N/A,#N/A,TRUE,"6-1";#N/A,#N/A,TRUE,"6-2";#N/A,#N/A,TRUE,"7-1";#N/A,#N/A,TRUE,"7-2";#N/A,#N/A,TRUE,"8.";#N/A,#N/A,TRUE,"9."}</definedName>
    <definedName name="_205v77_" hidden="1">{#N/A,#N/A,TRUE,"목차";#N/A,#N/A,TRUE,"1.";#N/A,#N/A,TRUE,"2.";#N/A,#N/A,TRUE,"3.";#N/A,#N/A,TRUE,"4-1";#N/A,#N/A,TRUE,"-2";#N/A,#N/A,TRUE,"-3";#N/A,#N/A,TRUE,"-4";#N/A,#N/A,TRUE,"5-1";#N/A,#N/A,TRUE,"5-2";#N/A,#N/A,TRUE,"6-1";#N/A,#N/A,TRUE,"6-2";#N/A,#N/A,TRUE,"7-1";#N/A,#N/A,TRUE,"7-2";#N/A,#N/A,TRUE,"8.";#N/A,#N/A,TRUE,"9."}</definedName>
    <definedName name="_207v9_" hidden="1">{#N/A,#N/A,TRUE,"목차";#N/A,#N/A,TRUE,"1.";#N/A,#N/A,TRUE,"2.";#N/A,#N/A,TRUE,"3.";#N/A,#N/A,TRUE,"4-1";#N/A,#N/A,TRUE,"-2";#N/A,#N/A,TRUE,"-3";#N/A,#N/A,TRUE,"-4";#N/A,#N/A,TRUE,"5-1";#N/A,#N/A,TRUE,"5-2";#N/A,#N/A,TRUE,"6-1";#N/A,#N/A,TRUE,"6-2";#N/A,#N/A,TRUE,"7-1";#N/A,#N/A,TRUE,"7-2";#N/A,#N/A,TRUE,"8.";#N/A,#N/A,TRUE,"9."}</definedName>
    <definedName name="_215z1_" hidden="1">{#N/A,#N/A,TRUE,"목차";#N/A,#N/A,TRUE,"1.";#N/A,#N/A,TRUE,"2.";#N/A,#N/A,TRUE,"3.";#N/A,#N/A,TRUE,"4-1";#N/A,#N/A,TRUE,"-2";#N/A,#N/A,TRUE,"-3";#N/A,#N/A,TRUE,"-4";#N/A,#N/A,TRUE,"5-1";#N/A,#N/A,TRUE,"5-2";#N/A,#N/A,TRUE,"6-1";#N/A,#N/A,TRUE,"6-2";#N/A,#N/A,TRUE,"7-1";#N/A,#N/A,TRUE,"7-2";#N/A,#N/A,TRUE,"8.";#N/A,#N/A,TRUE,"9."}</definedName>
    <definedName name="_217z10_" hidden="1">{#N/A,#N/A,TRUE,"목차";#N/A,#N/A,TRUE,"1.";#N/A,#N/A,TRUE,"2.";#N/A,#N/A,TRUE,"3.";#N/A,#N/A,TRUE,"4-1";#N/A,#N/A,TRUE,"-2";#N/A,#N/A,TRUE,"-3";#N/A,#N/A,TRUE,"-4";#N/A,#N/A,TRUE,"5-1";#N/A,#N/A,TRUE,"5-2";#N/A,#N/A,TRUE,"6-1";#N/A,#N/A,TRUE,"6-2";#N/A,#N/A,TRUE,"7-1";#N/A,#N/A,TRUE,"7-2";#N/A,#N/A,TRUE,"8.";#N/A,#N/A,TRUE,"9."}</definedName>
    <definedName name="_219z2_" hidden="1">{#N/A,#N/A,TRUE,"목차";#N/A,#N/A,TRUE,"1.";#N/A,#N/A,TRUE,"2.";#N/A,#N/A,TRUE,"3.";#N/A,#N/A,TRUE,"4-1";#N/A,#N/A,TRUE,"-2";#N/A,#N/A,TRUE,"-3";#N/A,#N/A,TRUE,"-4";#N/A,#N/A,TRUE,"5-1";#N/A,#N/A,TRUE,"5-2";#N/A,#N/A,TRUE,"6-1";#N/A,#N/A,TRUE,"6-2";#N/A,#N/A,TRUE,"7-1";#N/A,#N/A,TRUE,"7-2";#N/A,#N/A,TRUE,"8.";#N/A,#N/A,TRUE,"9."}</definedName>
    <definedName name="_21A2_" hidden="1">{#N/A,#N/A,TRUE,"목차";#N/A,#N/A,TRUE,"1.";#N/A,#N/A,TRUE,"2.";#N/A,#N/A,TRUE,"3.";#N/A,#N/A,TRUE,"4-1";#N/A,#N/A,TRUE,"-2";#N/A,#N/A,TRUE,"-3";#N/A,#N/A,TRUE,"-4";#N/A,#N/A,TRUE,"5-1";#N/A,#N/A,TRUE,"5-2";#N/A,#N/A,TRUE,"6-1";#N/A,#N/A,TRUE,"6-2";#N/A,#N/A,TRUE,"7-1";#N/A,#N/A,TRUE,"7-2";#N/A,#N/A,TRUE,"8.";#N/A,#N/A,TRUE,"9."}</definedName>
    <definedName name="_221z3_" hidden="1">{#N/A,#N/A,TRUE,"목차";#N/A,#N/A,TRUE,"1.";#N/A,#N/A,TRUE,"2.";#N/A,#N/A,TRUE,"3.";#N/A,#N/A,TRUE,"4-1";#N/A,#N/A,TRUE,"-2";#N/A,#N/A,TRUE,"-3";#N/A,#N/A,TRUE,"-4";#N/A,#N/A,TRUE,"5-1";#N/A,#N/A,TRUE,"5-2";#N/A,#N/A,TRUE,"6-1";#N/A,#N/A,TRUE,"6-2";#N/A,#N/A,TRUE,"7-1";#N/A,#N/A,TRUE,"7-2";#N/A,#N/A,TRUE,"8.";#N/A,#N/A,TRUE,"9."}</definedName>
    <definedName name="_223z4_" hidden="1">{#N/A,#N/A,TRUE,"목차";#N/A,#N/A,TRUE,"1.";#N/A,#N/A,TRUE,"2.";#N/A,#N/A,TRUE,"3.";#N/A,#N/A,TRUE,"4-1";#N/A,#N/A,TRUE,"-2";#N/A,#N/A,TRUE,"-3";#N/A,#N/A,TRUE,"-4";#N/A,#N/A,TRUE,"5-1";#N/A,#N/A,TRUE,"5-2";#N/A,#N/A,TRUE,"6-1";#N/A,#N/A,TRUE,"6-2";#N/A,#N/A,TRUE,"7-1";#N/A,#N/A,TRUE,"7-2";#N/A,#N/A,TRUE,"8.";#N/A,#N/A,TRUE,"9."}</definedName>
    <definedName name="_225z5_" hidden="1">{#N/A,#N/A,TRUE,"목차";#N/A,#N/A,TRUE,"1.";#N/A,#N/A,TRUE,"2.";#N/A,#N/A,TRUE,"3.";#N/A,#N/A,TRUE,"4-1";#N/A,#N/A,TRUE,"-2";#N/A,#N/A,TRUE,"-3";#N/A,#N/A,TRUE,"-4";#N/A,#N/A,TRUE,"5-1";#N/A,#N/A,TRUE,"5-2";#N/A,#N/A,TRUE,"6-1";#N/A,#N/A,TRUE,"6-2";#N/A,#N/A,TRUE,"7-1";#N/A,#N/A,TRUE,"7-2";#N/A,#N/A,TRUE,"8.";#N/A,#N/A,TRUE,"9."}</definedName>
    <definedName name="_227z6_" hidden="1">{#N/A,#N/A,TRUE,"목차";#N/A,#N/A,TRUE,"1.";#N/A,#N/A,TRUE,"2.";#N/A,#N/A,TRUE,"3.";#N/A,#N/A,TRUE,"4-1";#N/A,#N/A,TRUE,"-2";#N/A,#N/A,TRUE,"-3";#N/A,#N/A,TRUE,"-4";#N/A,#N/A,TRUE,"5-1";#N/A,#N/A,TRUE,"5-2";#N/A,#N/A,TRUE,"6-1";#N/A,#N/A,TRUE,"6-2";#N/A,#N/A,TRUE,"7-1";#N/A,#N/A,TRUE,"7-2";#N/A,#N/A,TRUE,"8.";#N/A,#N/A,TRUE,"9."}</definedName>
    <definedName name="_229z8_" hidden="1">{#N/A,#N/A,TRUE,"목차";#N/A,#N/A,TRUE,"1.";#N/A,#N/A,TRUE,"2.";#N/A,#N/A,TRUE,"3.";#N/A,#N/A,TRUE,"4-1";#N/A,#N/A,TRUE,"-2";#N/A,#N/A,TRUE,"-3";#N/A,#N/A,TRUE,"-4";#N/A,#N/A,TRUE,"5-1";#N/A,#N/A,TRUE,"5-2";#N/A,#N/A,TRUE,"6-1";#N/A,#N/A,TRUE,"6-2";#N/A,#N/A,TRUE,"7-1";#N/A,#N/A,TRUE,"7-2";#N/A,#N/A,TRUE,"8.";#N/A,#N/A,TRUE,"9."}</definedName>
    <definedName name="_231z9_" hidden="1">{#N/A,#N/A,TRUE,"목차";#N/A,#N/A,TRUE,"1.";#N/A,#N/A,TRUE,"2.";#N/A,#N/A,TRUE,"3.";#N/A,#N/A,TRUE,"4-1";#N/A,#N/A,TRUE,"-2";#N/A,#N/A,TRUE,"-3";#N/A,#N/A,TRUE,"-4";#N/A,#N/A,TRUE,"5-1";#N/A,#N/A,TRUE,"5-2";#N/A,#N/A,TRUE,"6-1";#N/A,#N/A,TRUE,"6-2";#N/A,#N/A,TRUE,"7-1";#N/A,#N/A,TRUE,"7-2";#N/A,#N/A,TRUE,"8.";#N/A,#N/A,TRUE,"9."}</definedName>
    <definedName name="_23a10_" hidden="1">{#N/A,#N/A,TRUE,"목차";#N/A,#N/A,TRUE,"1.";#N/A,#N/A,TRUE,"2.";#N/A,#N/A,TRUE,"3.";#N/A,#N/A,TRUE,"4-1";#N/A,#N/A,TRUE,"-2";#N/A,#N/A,TRUE,"-3";#N/A,#N/A,TRUE,"-4";#N/A,#N/A,TRUE,"5-1";#N/A,#N/A,TRUE,"5-2";#N/A,#N/A,TRUE,"6-1";#N/A,#N/A,TRUE,"6-2";#N/A,#N/A,TRUE,"7-1";#N/A,#N/A,TRUE,"7-2";#N/A,#N/A,TRUE,"8.";#N/A,#N/A,TRUE,"9."}</definedName>
    <definedName name="_23A3_" hidden="1">{#N/A,#N/A,TRUE,"목차";#N/A,#N/A,TRUE,"1.";#N/A,#N/A,TRUE,"2.";#N/A,#N/A,TRUE,"3.";#N/A,#N/A,TRUE,"4-1";#N/A,#N/A,TRUE,"-2";#N/A,#N/A,TRUE,"-3";#N/A,#N/A,TRUE,"-4";#N/A,#N/A,TRUE,"5-1";#N/A,#N/A,TRUE,"5-2";#N/A,#N/A,TRUE,"6-1";#N/A,#N/A,TRUE,"6-2";#N/A,#N/A,TRUE,"7-1";#N/A,#N/A,TRUE,"7-2";#N/A,#N/A,TRUE,"8.";#N/A,#N/A,TRUE,"9."}</definedName>
    <definedName name="_24dt1_" hidden="1">{#N/A,#N/A,TRUE,"목차";#N/A,#N/A,TRUE,"1.";#N/A,#N/A,TRUE,"2.";#N/A,#N/A,TRUE,"3.";#N/A,#N/A,TRUE,"4-1";#N/A,#N/A,TRUE,"-2";#N/A,#N/A,TRUE,"-3";#N/A,#N/A,TRUE,"-4";#N/A,#N/A,TRUE,"5-1";#N/A,#N/A,TRUE,"5-2";#N/A,#N/A,TRUE,"6-1";#N/A,#N/A,TRUE,"6-2";#N/A,#N/A,TRUE,"7-1";#N/A,#N/A,TRUE,"7-2";#N/A,#N/A,TRUE,"8.";#N/A,#N/A,TRUE,"9."}</definedName>
    <definedName name="_24E1_" hidden="1">{#N/A,#N/A,TRUE,"목차";#N/A,#N/A,TRUE,"1.";#N/A,#N/A,TRUE,"2.";#N/A,#N/A,TRUE,"3.";#N/A,#N/A,TRUE,"4-1";#N/A,#N/A,TRUE,"-2";#N/A,#N/A,TRUE,"-3";#N/A,#N/A,TRUE,"-4";#N/A,#N/A,TRUE,"5-1";#N/A,#N/A,TRUE,"5-2";#N/A,#N/A,TRUE,"6-1";#N/A,#N/A,TRUE,"6-2";#N/A,#N/A,TRUE,"7-1";#N/A,#N/A,TRUE,"7-2";#N/A,#N/A,TRUE,"8.";#N/A,#N/A,TRUE,"9."}</definedName>
    <definedName name="_25a11_" hidden="1">{#N/A,#N/A,TRUE,"목차";#N/A,#N/A,TRUE,"1.";#N/A,#N/A,TRUE,"2.";#N/A,#N/A,TRUE,"3.";#N/A,#N/A,TRUE,"4-1";#N/A,#N/A,TRUE,"-2";#N/A,#N/A,TRUE,"-3";#N/A,#N/A,TRUE,"-4";#N/A,#N/A,TRUE,"5-1";#N/A,#N/A,TRUE,"5-2";#N/A,#N/A,TRUE,"6-1";#N/A,#N/A,TRUE,"6-2";#N/A,#N/A,TRUE,"7-1";#N/A,#N/A,TRUE,"7-2";#N/A,#N/A,TRUE,"8.";#N/A,#N/A,TRUE,"9."}</definedName>
    <definedName name="_25A4_" hidden="1">{#N/A,#N/A,TRUE,"목차";#N/A,#N/A,TRUE,"1.";#N/A,#N/A,TRUE,"2.";#N/A,#N/A,TRUE,"3.";#N/A,#N/A,TRUE,"4-1";#N/A,#N/A,TRUE,"-2";#N/A,#N/A,TRUE,"-3";#N/A,#N/A,TRUE,"-4";#N/A,#N/A,TRUE,"5-1";#N/A,#N/A,TRUE,"5-2";#N/A,#N/A,TRUE,"6-1";#N/A,#N/A,TRUE,"6-2";#N/A,#N/A,TRUE,"7-1";#N/A,#N/A,TRUE,"7-2";#N/A,#N/A,TRUE,"8.";#N/A,#N/A,TRUE,"9."}</definedName>
    <definedName name="_25dt1_" hidden="1">{#N/A,#N/A,TRUE,"목차";#N/A,#N/A,TRUE,"1.";#N/A,#N/A,TRUE,"2.";#N/A,#N/A,TRUE,"3.";#N/A,#N/A,TRUE,"4-1";#N/A,#N/A,TRUE,"-2";#N/A,#N/A,TRUE,"-3";#N/A,#N/A,TRUE,"-4";#N/A,#N/A,TRUE,"5-1";#N/A,#N/A,TRUE,"5-2";#N/A,#N/A,TRUE,"6-1";#N/A,#N/A,TRUE,"6-2";#N/A,#N/A,TRUE,"7-1";#N/A,#N/A,TRUE,"7-2";#N/A,#N/A,TRUE,"8.";#N/A,#N/A,TRUE,"9."}</definedName>
    <definedName name="_25el55_" hidden="1">{#N/A,#N/A,TRUE,"목차";#N/A,#N/A,TRUE,"1.";#N/A,#N/A,TRUE,"2.";#N/A,#N/A,TRUE,"3.";#N/A,#N/A,TRUE,"4-1";#N/A,#N/A,TRUE,"-2";#N/A,#N/A,TRUE,"-3";#N/A,#N/A,TRUE,"-4";#N/A,#N/A,TRUE,"5-1";#N/A,#N/A,TRUE,"5-2";#N/A,#N/A,TRUE,"6-1";#N/A,#N/A,TRUE,"6-2";#N/A,#N/A,TRUE,"7-1";#N/A,#N/A,TRUE,"7-2";#N/A,#N/A,TRUE,"8.";#N/A,#N/A,TRUE,"9."}</definedName>
    <definedName name="_26el68_" hidden="1">{#N/A,#N/A,TRUE,"목차";#N/A,#N/A,TRUE,"1.";#N/A,#N/A,TRUE,"2.";#N/A,#N/A,TRUE,"3.";#N/A,#N/A,TRUE,"4-1";#N/A,#N/A,TRUE,"-2";#N/A,#N/A,TRUE,"-3";#N/A,#N/A,TRUE,"-4";#N/A,#N/A,TRUE,"5-1";#N/A,#N/A,TRUE,"5-2";#N/A,#N/A,TRUE,"6-1";#N/A,#N/A,TRUE,"6-2";#N/A,#N/A,TRUE,"7-1";#N/A,#N/A,TRUE,"7-2";#N/A,#N/A,TRUE,"8.";#N/A,#N/A,TRUE,"9."}</definedName>
    <definedName name="_27a12_" hidden="1">{#N/A,#N/A,TRUE,"목차";#N/A,#N/A,TRUE,"1.";#N/A,#N/A,TRUE,"2.";#N/A,#N/A,TRUE,"3.";#N/A,#N/A,TRUE,"4-1";#N/A,#N/A,TRUE,"-2";#N/A,#N/A,TRUE,"-3";#N/A,#N/A,TRUE,"-4";#N/A,#N/A,TRUE,"5-1";#N/A,#N/A,TRUE,"5-2";#N/A,#N/A,TRUE,"6-1";#N/A,#N/A,TRUE,"6-2";#N/A,#N/A,TRUE,"7-1";#N/A,#N/A,TRUE,"7-2";#N/A,#N/A,TRUE,"8.";#N/A,#N/A,TRUE,"9."}</definedName>
    <definedName name="_27A5_" hidden="1">{#N/A,#N/A,TRUE,"목차";#N/A,#N/A,TRUE,"1.";#N/A,#N/A,TRUE,"2.";#N/A,#N/A,TRUE,"3.";#N/A,#N/A,TRUE,"4-1";#N/A,#N/A,TRUE,"-2";#N/A,#N/A,TRUE,"-3";#N/A,#N/A,TRUE,"-4";#N/A,#N/A,TRUE,"5-1";#N/A,#N/A,TRUE,"5-2";#N/A,#N/A,TRUE,"6-1";#N/A,#N/A,TRUE,"6-2";#N/A,#N/A,TRUE,"7-1";#N/A,#N/A,TRUE,"7-2";#N/A,#N/A,TRUE,"8.";#N/A,#N/A,TRUE,"9."}</definedName>
    <definedName name="_27el55_" hidden="1">{#N/A,#N/A,TRUE,"목차";#N/A,#N/A,TRUE,"1.";#N/A,#N/A,TRUE,"2.";#N/A,#N/A,TRUE,"3.";#N/A,#N/A,TRUE,"4-1";#N/A,#N/A,TRUE,"-2";#N/A,#N/A,TRUE,"-3";#N/A,#N/A,TRUE,"-4";#N/A,#N/A,TRUE,"5-1";#N/A,#N/A,TRUE,"5-2";#N/A,#N/A,TRUE,"6-1";#N/A,#N/A,TRUE,"6-2";#N/A,#N/A,TRUE,"7-1";#N/A,#N/A,TRUE,"7-2";#N/A,#N/A,TRUE,"8.";#N/A,#N/A,TRUE,"9."}</definedName>
    <definedName name="_29a14_" hidden="1">{#N/A,#N/A,TRUE,"목차";#N/A,#N/A,TRUE,"1.";#N/A,#N/A,TRUE,"2.";#N/A,#N/A,TRUE,"3.";#N/A,#N/A,TRUE,"4-1";#N/A,#N/A,TRUE,"-2";#N/A,#N/A,TRUE,"-3";#N/A,#N/A,TRUE,"-4";#N/A,#N/A,TRUE,"5-1";#N/A,#N/A,TRUE,"5-2";#N/A,#N/A,TRUE,"6-1";#N/A,#N/A,TRUE,"6-2";#N/A,#N/A,TRUE,"7-1";#N/A,#N/A,TRUE,"7-2";#N/A,#N/A,TRUE,"8.";#N/A,#N/A,TRUE,"9."}</definedName>
    <definedName name="_29A6_" hidden="1">{#N/A,#N/A,TRUE,"목차";#N/A,#N/A,TRUE,"1.";#N/A,#N/A,TRUE,"2.";#N/A,#N/A,TRUE,"3.";#N/A,#N/A,TRUE,"4-1";#N/A,#N/A,TRUE,"-2";#N/A,#N/A,TRUE,"-3";#N/A,#N/A,TRUE,"-4";#N/A,#N/A,TRUE,"5-1";#N/A,#N/A,TRUE,"5-2";#N/A,#N/A,TRUE,"6-1";#N/A,#N/A,TRUE,"6-2";#N/A,#N/A,TRUE,"7-1";#N/A,#N/A,TRUE,"7-2";#N/A,#N/A,TRUE,"8.";#N/A,#N/A,TRUE,"9."}</definedName>
    <definedName name="_29el68_" hidden="1">{#N/A,#N/A,TRUE,"목차";#N/A,#N/A,TRUE,"1.";#N/A,#N/A,TRUE,"2.";#N/A,#N/A,TRUE,"3.";#N/A,#N/A,TRUE,"4-1";#N/A,#N/A,TRUE,"-2";#N/A,#N/A,TRUE,"-3";#N/A,#N/A,TRUE,"-4";#N/A,#N/A,TRUE,"5-1";#N/A,#N/A,TRUE,"5-2";#N/A,#N/A,TRUE,"6-1";#N/A,#N/A,TRUE,"6-2";#N/A,#N/A,TRUE,"7-1";#N/A,#N/A,TRUE,"7-2";#N/A,#N/A,TRUE,"8.";#N/A,#N/A,TRUE,"9."}</definedName>
    <definedName name="_3__123Graph_XCHART_1" hidden="1">#REF!</definedName>
    <definedName name="_31a15_" hidden="1">{#N/A,#N/A,TRUE,"목차";#N/A,#N/A,TRUE,"1.";#N/A,#N/A,TRUE,"2.";#N/A,#N/A,TRUE,"3.";#N/A,#N/A,TRUE,"4-1";#N/A,#N/A,TRUE,"-2";#N/A,#N/A,TRUE,"-3";#N/A,#N/A,TRUE,"-4";#N/A,#N/A,TRUE,"5-1";#N/A,#N/A,TRUE,"5-2";#N/A,#N/A,TRUE,"6-1";#N/A,#N/A,TRUE,"6-2";#N/A,#N/A,TRUE,"7-1";#N/A,#N/A,TRUE,"7-2";#N/A,#N/A,TRUE,"8.";#N/A,#N/A,TRUE,"9."}</definedName>
    <definedName name="_31A7_" hidden="1">{#N/A,#N/A,TRUE,"목차";#N/A,#N/A,TRUE,"1.";#N/A,#N/A,TRUE,"2.";#N/A,#N/A,TRUE,"3.";#N/A,#N/A,TRUE,"4-1";#N/A,#N/A,TRUE,"-2";#N/A,#N/A,TRUE,"-3";#N/A,#N/A,TRUE,"-4";#N/A,#N/A,TRUE,"5-1";#N/A,#N/A,TRUE,"5-2";#N/A,#N/A,TRUE,"6-1";#N/A,#N/A,TRUE,"6-2";#N/A,#N/A,TRUE,"7-1";#N/A,#N/A,TRUE,"7-2";#N/A,#N/A,TRUE,"8.";#N/A,#N/A,TRUE,"9."}</definedName>
    <definedName name="_33a16_" hidden="1">{#N/A,#N/A,TRUE,"목차";#N/A,#N/A,TRUE,"1.";#N/A,#N/A,TRUE,"2.";#N/A,#N/A,TRUE,"3.";#N/A,#N/A,TRUE,"4-1";#N/A,#N/A,TRUE,"-2";#N/A,#N/A,TRUE,"-3";#N/A,#N/A,TRUE,"-4";#N/A,#N/A,TRUE,"5-1";#N/A,#N/A,TRUE,"5-2";#N/A,#N/A,TRUE,"6-1";#N/A,#N/A,TRUE,"6-2";#N/A,#N/A,TRUE,"7-1";#N/A,#N/A,TRUE,"7-2";#N/A,#N/A,TRUE,"8.";#N/A,#N/A,TRUE,"9."}</definedName>
    <definedName name="_33A8_" hidden="1">{#N/A,#N/A,TRUE,"목차";#N/A,#N/A,TRUE,"1.";#N/A,#N/A,TRUE,"2.";#N/A,#N/A,TRUE,"3.";#N/A,#N/A,TRUE,"4-1";#N/A,#N/A,TRUE,"-2";#N/A,#N/A,TRUE,"-3";#N/A,#N/A,TRUE,"-4";#N/A,#N/A,TRUE,"5-1";#N/A,#N/A,TRUE,"5-2";#N/A,#N/A,TRUE,"6-1";#N/A,#N/A,TRUE,"6-2";#N/A,#N/A,TRUE,"7-1";#N/A,#N/A,TRUE,"7-2";#N/A,#N/A,TRUE,"8.";#N/A,#N/A,TRUE,"9."}</definedName>
    <definedName name="_35a18_" hidden="1">{#N/A,#N/A,TRUE,"목차";#N/A,#N/A,TRUE,"1.";#N/A,#N/A,TRUE,"2.";#N/A,#N/A,TRUE,"3.";#N/A,#N/A,TRUE,"4-1";#N/A,#N/A,TRUE,"-2";#N/A,#N/A,TRUE,"-3";#N/A,#N/A,TRUE,"-4";#N/A,#N/A,TRUE,"5-1";#N/A,#N/A,TRUE,"5-2";#N/A,#N/A,TRUE,"6-1";#N/A,#N/A,TRUE,"6-2";#N/A,#N/A,TRUE,"7-1";#N/A,#N/A,TRUE,"7-2";#N/A,#N/A,TRUE,"8.";#N/A,#N/A,TRUE,"9."}</definedName>
    <definedName name="_35A9_" hidden="1">{#N/A,#N/A,TRUE,"목차";#N/A,#N/A,TRUE,"1.";#N/A,#N/A,TRUE,"2.";#N/A,#N/A,TRUE,"3.";#N/A,#N/A,TRUE,"4-1";#N/A,#N/A,TRUE,"-2";#N/A,#N/A,TRUE,"-3";#N/A,#N/A,TRUE,"-4";#N/A,#N/A,TRUE,"5-1";#N/A,#N/A,TRUE,"5-2";#N/A,#N/A,TRUE,"6-1";#N/A,#N/A,TRUE,"6-2";#N/A,#N/A,TRUE,"7-1";#N/A,#N/A,TRUE,"7-2";#N/A,#N/A,TRUE,"8.";#N/A,#N/A,TRUE,"9."}</definedName>
    <definedName name="_37a19_" hidden="1">{#N/A,#N/A,TRUE,"목차";#N/A,#N/A,TRUE,"1.";#N/A,#N/A,TRUE,"2.";#N/A,#N/A,TRUE,"3.";#N/A,#N/A,TRUE,"4-1";#N/A,#N/A,TRUE,"-2";#N/A,#N/A,TRUE,"-3";#N/A,#N/A,TRUE,"-4";#N/A,#N/A,TRUE,"5-1";#N/A,#N/A,TRUE,"5-2";#N/A,#N/A,TRUE,"6-1";#N/A,#N/A,TRUE,"6-2";#N/A,#N/A,TRUE,"7-1";#N/A,#N/A,TRUE,"7-2";#N/A,#N/A,TRUE,"8.";#N/A,#N/A,TRUE,"9."}</definedName>
    <definedName name="_37AA1_" hidden="1">{#N/A,#N/A,TRUE,"목차";#N/A,#N/A,TRUE,"1.";#N/A,#N/A,TRUE,"2.";#N/A,#N/A,TRUE,"3.";#N/A,#N/A,TRUE,"4-1";#N/A,#N/A,TRUE,"-2";#N/A,#N/A,TRUE,"-3";#N/A,#N/A,TRUE,"-4";#N/A,#N/A,TRUE,"5-1";#N/A,#N/A,TRUE,"5-2";#N/A,#N/A,TRUE,"6-1";#N/A,#N/A,TRUE,"6-2";#N/A,#N/A,TRUE,"7-1";#N/A,#N/A,TRUE,"7-2";#N/A,#N/A,TRUE,"8.";#N/A,#N/A,TRUE,"9."}</definedName>
    <definedName name="_39a20_" hidden="1">{#N/A,#N/A,TRUE,"목차";#N/A,#N/A,TRUE,"1.";#N/A,#N/A,TRUE,"2.";#N/A,#N/A,TRUE,"3.";#N/A,#N/A,TRUE,"4-1";#N/A,#N/A,TRUE,"-2";#N/A,#N/A,TRUE,"-3";#N/A,#N/A,TRUE,"-4";#N/A,#N/A,TRUE,"5-1";#N/A,#N/A,TRUE,"5-2";#N/A,#N/A,TRUE,"6-1";#N/A,#N/A,TRUE,"6-2";#N/A,#N/A,TRUE,"7-1";#N/A,#N/A,TRUE,"7-2";#N/A,#N/A,TRUE,"8.";#N/A,#N/A,TRUE,"9."}</definedName>
    <definedName name="_39B1_" hidden="1">{#N/A,#N/A,TRUE,"목차";#N/A,#N/A,TRUE,"1.";#N/A,#N/A,TRUE,"2.";#N/A,#N/A,TRUE,"3.";#N/A,#N/A,TRUE,"4-1";#N/A,#N/A,TRUE,"-2";#N/A,#N/A,TRUE,"-3";#N/A,#N/A,TRUE,"-4";#N/A,#N/A,TRUE,"5-1";#N/A,#N/A,TRUE,"5-2";#N/A,#N/A,TRUE,"6-1";#N/A,#N/A,TRUE,"6-2";#N/A,#N/A,TRUE,"7-1";#N/A,#N/A,TRUE,"7-2";#N/A,#N/A,TRUE,"8.";#N/A,#N/A,TRUE,"9."}</definedName>
    <definedName name="_39dt1_" hidden="1">{#N/A,#N/A,TRUE,"목차";#N/A,#N/A,TRUE,"1.";#N/A,#N/A,TRUE,"2.";#N/A,#N/A,TRUE,"3.";#N/A,#N/A,TRUE,"4-1";#N/A,#N/A,TRUE,"-2";#N/A,#N/A,TRUE,"-3";#N/A,#N/A,TRUE,"-4";#N/A,#N/A,TRUE,"5-1";#N/A,#N/A,TRUE,"5-2";#N/A,#N/A,TRUE,"6-1";#N/A,#N/A,TRUE,"6-2";#N/A,#N/A,TRUE,"7-1";#N/A,#N/A,TRUE,"7-2";#N/A,#N/A,TRUE,"8.";#N/A,#N/A,TRUE,"9."}</definedName>
    <definedName name="_3AA1_" hidden="1">{#N/A,#N/A,TRUE,"목차";#N/A,#N/A,TRUE,"1.";#N/A,#N/A,TRUE,"2.";#N/A,#N/A,TRUE,"3.";#N/A,#N/A,TRUE,"4-1";#N/A,#N/A,TRUE,"-2";#N/A,#N/A,TRUE,"-3";#N/A,#N/A,TRUE,"-4";#N/A,#N/A,TRUE,"5-1";#N/A,#N/A,TRUE,"5-2";#N/A,#N/A,TRUE,"6-1";#N/A,#N/A,TRUE,"6-2";#N/A,#N/A,TRUE,"7-1";#N/A,#N/A,TRUE,"7-2";#N/A,#N/A,TRUE,"8.";#N/A,#N/A,TRUE,"9."}</definedName>
    <definedName name="_40el55_" hidden="1">{#N/A,#N/A,TRUE,"목차";#N/A,#N/A,TRUE,"1.";#N/A,#N/A,TRUE,"2.";#N/A,#N/A,TRUE,"3.";#N/A,#N/A,TRUE,"4-1";#N/A,#N/A,TRUE,"-2";#N/A,#N/A,TRUE,"-3";#N/A,#N/A,TRUE,"-4";#N/A,#N/A,TRUE,"5-1";#N/A,#N/A,TRUE,"5-2";#N/A,#N/A,TRUE,"6-1";#N/A,#N/A,TRUE,"6-2";#N/A,#N/A,TRUE,"7-1";#N/A,#N/A,TRUE,"7-2";#N/A,#N/A,TRUE,"8.";#N/A,#N/A,TRUE,"9."}</definedName>
    <definedName name="_41a21_" hidden="1">{#N/A,#N/A,TRUE,"목차";#N/A,#N/A,TRUE,"1.";#N/A,#N/A,TRUE,"2.";#N/A,#N/A,TRUE,"3.";#N/A,#N/A,TRUE,"4-1";#N/A,#N/A,TRUE,"-2";#N/A,#N/A,TRUE,"-3";#N/A,#N/A,TRUE,"-4";#N/A,#N/A,TRUE,"5-1";#N/A,#N/A,TRUE,"5-2";#N/A,#N/A,TRUE,"6-1";#N/A,#N/A,TRUE,"6-2";#N/A,#N/A,TRUE,"7-1";#N/A,#N/A,TRUE,"7-2";#N/A,#N/A,TRUE,"8.";#N/A,#N/A,TRUE,"9."}</definedName>
    <definedName name="_41b106_" hidden="1">{#N/A,#N/A,TRUE,"목차";#N/A,#N/A,TRUE,"1.";#N/A,#N/A,TRUE,"2.";#N/A,#N/A,TRUE,"3.";#N/A,#N/A,TRUE,"4-1";#N/A,#N/A,TRUE,"-2";#N/A,#N/A,TRUE,"-3";#N/A,#N/A,TRUE,"-4";#N/A,#N/A,TRUE,"5-1";#N/A,#N/A,TRUE,"5-2";#N/A,#N/A,TRUE,"6-1";#N/A,#N/A,TRUE,"6-2";#N/A,#N/A,TRUE,"7-1";#N/A,#N/A,TRUE,"7-2";#N/A,#N/A,TRUE,"8.";#N/A,#N/A,TRUE,"9."}</definedName>
    <definedName name="_41el68_" hidden="1">{#N/A,#N/A,TRUE,"목차";#N/A,#N/A,TRUE,"1.";#N/A,#N/A,TRUE,"2.";#N/A,#N/A,TRUE,"3.";#N/A,#N/A,TRUE,"4-1";#N/A,#N/A,TRUE,"-2";#N/A,#N/A,TRUE,"-3";#N/A,#N/A,TRUE,"-4";#N/A,#N/A,TRUE,"5-1";#N/A,#N/A,TRUE,"5-2";#N/A,#N/A,TRUE,"6-1";#N/A,#N/A,TRUE,"6-2";#N/A,#N/A,TRUE,"7-1";#N/A,#N/A,TRUE,"7-2";#N/A,#N/A,TRUE,"8.";#N/A,#N/A,TRUE,"9."}</definedName>
    <definedName name="_43b215_" hidden="1">{#N/A,#N/A,TRUE,"목차";#N/A,#N/A,TRUE,"1.";#N/A,#N/A,TRUE,"2.";#N/A,#N/A,TRUE,"3.";#N/A,#N/A,TRUE,"4-1";#N/A,#N/A,TRUE,"-2";#N/A,#N/A,TRUE,"-3";#N/A,#N/A,TRUE,"-4";#N/A,#N/A,TRUE,"5-1";#N/A,#N/A,TRUE,"5-2";#N/A,#N/A,TRUE,"6-1";#N/A,#N/A,TRUE,"6-2";#N/A,#N/A,TRUE,"7-1";#N/A,#N/A,TRUE,"7-2";#N/A,#N/A,TRUE,"8.";#N/A,#N/A,TRUE,"9."}</definedName>
    <definedName name="_44AK45_" hidden="1">{#N/A,#N/A,TRUE,"LOADCOVE";#N/A,#N/A,TRUE,"PAGE001";#N/A,#N/A,TRUE,"PAGE002";#N/A,#N/A,TRUE,"PAGE003";#N/A,#N/A,TRUE,"PAGE004";#N/A,#N/A,TRUE,"PAGE005";#N/A,#N/A,TRUE,"PAGE006";#N/A,#N/A,TRUE,"PAGE007";#N/A,#N/A,TRUE,"PAGE008";#N/A,#N/A,TRUE,"PAGE009";#N/A,#N/A,TRUE,"PAGE010";#N/A,#N/A,TRUE,"PAGE011";#N/A,#N/A,TRUE,"PAGE012";#N/A,#N/A,TRUE,"PAGE013"}</definedName>
    <definedName name="_45a24_" hidden="1">{#N/A,#N/A,TRUE,"목차";#N/A,#N/A,TRUE,"1.";#N/A,#N/A,TRUE,"2.";#N/A,#N/A,TRUE,"3.";#N/A,#N/A,TRUE,"4-1";#N/A,#N/A,TRUE,"-2";#N/A,#N/A,TRUE,"-3";#N/A,#N/A,TRUE,"-4";#N/A,#N/A,TRUE,"5-1";#N/A,#N/A,TRUE,"5-2";#N/A,#N/A,TRUE,"6-1";#N/A,#N/A,TRUE,"6-2";#N/A,#N/A,TRUE,"7-1";#N/A,#N/A,TRUE,"7-2";#N/A,#N/A,TRUE,"8.";#N/A,#N/A,TRUE,"9."}</definedName>
    <definedName name="_45b217_" hidden="1">{#N/A,#N/A,TRUE,"목차";#N/A,#N/A,TRUE,"1.";#N/A,#N/A,TRUE,"2.";#N/A,#N/A,TRUE,"3.";#N/A,#N/A,TRUE,"4-1";#N/A,#N/A,TRUE,"-2";#N/A,#N/A,TRUE,"-3";#N/A,#N/A,TRUE,"-4";#N/A,#N/A,TRUE,"5-1";#N/A,#N/A,TRUE,"5-2";#N/A,#N/A,TRUE,"6-1";#N/A,#N/A,TRUE,"6-2";#N/A,#N/A,TRUE,"7-1";#N/A,#N/A,TRUE,"7-2";#N/A,#N/A,TRUE,"8.";#N/A,#N/A,TRUE,"9."}</definedName>
    <definedName name="_47a25_" hidden="1">{#N/A,#N/A,TRUE,"목차";#N/A,#N/A,TRUE,"1.";#N/A,#N/A,TRUE,"2.";#N/A,#N/A,TRUE,"3.";#N/A,#N/A,TRUE,"4-1";#N/A,#N/A,TRUE,"-2";#N/A,#N/A,TRUE,"-3";#N/A,#N/A,TRUE,"-4";#N/A,#N/A,TRUE,"5-1";#N/A,#N/A,TRUE,"5-2";#N/A,#N/A,TRUE,"6-1";#N/A,#N/A,TRUE,"6-2";#N/A,#N/A,TRUE,"7-1";#N/A,#N/A,TRUE,"7-2";#N/A,#N/A,TRUE,"8.";#N/A,#N/A,TRUE,"9."}</definedName>
    <definedName name="_47b218_" hidden="1">{#N/A,#N/A,TRUE,"목차";#N/A,#N/A,TRUE,"1.";#N/A,#N/A,TRUE,"2.";#N/A,#N/A,TRUE,"3.";#N/A,#N/A,TRUE,"4-1";#N/A,#N/A,TRUE,"-2";#N/A,#N/A,TRUE,"-3";#N/A,#N/A,TRUE,"-4";#N/A,#N/A,TRUE,"5-1";#N/A,#N/A,TRUE,"5-2";#N/A,#N/A,TRUE,"6-1";#N/A,#N/A,TRUE,"6-2";#N/A,#N/A,TRUE,"7-1";#N/A,#N/A,TRUE,"7-2";#N/A,#N/A,TRUE,"8.";#N/A,#N/A,TRUE,"9."}</definedName>
    <definedName name="_49a26_" hidden="1">{#N/A,#N/A,TRUE,"목차";#N/A,#N/A,TRUE,"1.";#N/A,#N/A,TRUE,"2.";#N/A,#N/A,TRUE,"3.";#N/A,#N/A,TRUE,"4-1";#N/A,#N/A,TRUE,"-2";#N/A,#N/A,TRUE,"-3";#N/A,#N/A,TRUE,"-4";#N/A,#N/A,TRUE,"5-1";#N/A,#N/A,TRUE,"5-2";#N/A,#N/A,TRUE,"6-1";#N/A,#N/A,TRUE,"6-2";#N/A,#N/A,TRUE,"7-1";#N/A,#N/A,TRUE,"7-2";#N/A,#N/A,TRUE,"8.";#N/A,#N/A,TRUE,"9."}</definedName>
    <definedName name="_49B2222_" hidden="1">{#N/A,#N/A,TRUE,"목차";#N/A,#N/A,TRUE,"1.";#N/A,#N/A,TRUE,"2.";#N/A,#N/A,TRUE,"3.";#N/A,#N/A,TRUE,"4-1";#N/A,#N/A,TRUE,"-2";#N/A,#N/A,TRUE,"-3";#N/A,#N/A,TRUE,"-4";#N/A,#N/A,TRUE,"5-1";#N/A,#N/A,TRUE,"5-2";#N/A,#N/A,TRUE,"6-1";#N/A,#N/A,TRUE,"6-2";#N/A,#N/A,TRUE,"7-1";#N/A,#N/A,TRUE,"7-2";#N/A,#N/A,TRUE,"8.";#N/A,#N/A,TRUE,"9."}</definedName>
    <definedName name="_51a27_" hidden="1">{#N/A,#N/A,TRUE,"목차";#N/A,#N/A,TRUE,"1.";#N/A,#N/A,TRUE,"2.";#N/A,#N/A,TRUE,"3.";#N/A,#N/A,TRUE,"4-1";#N/A,#N/A,TRUE,"-2";#N/A,#N/A,TRUE,"-3";#N/A,#N/A,TRUE,"-4";#N/A,#N/A,TRUE,"5-1";#N/A,#N/A,TRUE,"5-2";#N/A,#N/A,TRUE,"6-1";#N/A,#N/A,TRUE,"6-2";#N/A,#N/A,TRUE,"7-1";#N/A,#N/A,TRUE,"7-2";#N/A,#N/A,TRUE,"8.";#N/A,#N/A,TRUE,"9."}</definedName>
    <definedName name="_51D1_" hidden="1">{#N/A,#N/A,TRUE,"목차";#N/A,#N/A,TRUE,"1.";#N/A,#N/A,TRUE,"2.";#N/A,#N/A,TRUE,"3.";#N/A,#N/A,TRUE,"4-1";#N/A,#N/A,TRUE,"-2";#N/A,#N/A,TRUE,"-3";#N/A,#N/A,TRUE,"-4";#N/A,#N/A,TRUE,"5-1";#N/A,#N/A,TRUE,"5-2";#N/A,#N/A,TRUE,"6-1";#N/A,#N/A,TRUE,"6-2";#N/A,#N/A,TRUE,"7-1";#N/A,#N/A,TRUE,"7-2";#N/A,#N/A,TRUE,"8.";#N/A,#N/A,TRUE,"9."}</definedName>
    <definedName name="_53a28_" hidden="1">{#N/A,#N/A,TRUE,"목차";#N/A,#N/A,TRUE,"1.";#N/A,#N/A,TRUE,"2.";#N/A,#N/A,TRUE,"3.";#N/A,#N/A,TRUE,"4-1";#N/A,#N/A,TRUE,"-2";#N/A,#N/A,TRUE,"-3";#N/A,#N/A,TRUE,"-4";#N/A,#N/A,TRUE,"5-1";#N/A,#N/A,TRUE,"5-2";#N/A,#N/A,TRUE,"6-1";#N/A,#N/A,TRUE,"6-2";#N/A,#N/A,TRUE,"7-1";#N/A,#N/A,TRUE,"7-2";#N/A,#N/A,TRUE,"8.";#N/A,#N/A,TRUE,"9."}</definedName>
    <definedName name="_53D2_" hidden="1">{#N/A,#N/A,TRUE,"목차";#N/A,#N/A,TRUE,"1.";#N/A,#N/A,TRUE,"2.";#N/A,#N/A,TRUE,"3.";#N/A,#N/A,TRUE,"4-1";#N/A,#N/A,TRUE,"-2";#N/A,#N/A,TRUE,"-3";#N/A,#N/A,TRUE,"-4";#N/A,#N/A,TRUE,"5-1";#N/A,#N/A,TRUE,"5-2";#N/A,#N/A,TRUE,"6-1";#N/A,#N/A,TRUE,"6-2";#N/A,#N/A,TRUE,"7-1";#N/A,#N/A,TRUE,"7-2";#N/A,#N/A,TRUE,"8.";#N/A,#N/A,TRUE,"9."}</definedName>
    <definedName name="_55a29_" hidden="1">{#N/A,#N/A,TRUE,"목차";#N/A,#N/A,TRUE,"1.";#N/A,#N/A,TRUE,"2.";#N/A,#N/A,TRUE,"3.";#N/A,#N/A,TRUE,"4-1";#N/A,#N/A,TRUE,"-2";#N/A,#N/A,TRUE,"-3";#N/A,#N/A,TRUE,"-4";#N/A,#N/A,TRUE,"5-1";#N/A,#N/A,TRUE,"5-2";#N/A,#N/A,TRUE,"6-1";#N/A,#N/A,TRUE,"6-2";#N/A,#N/A,TRUE,"7-1";#N/A,#N/A,TRUE,"7-2";#N/A,#N/A,TRUE,"8.";#N/A,#N/A,TRUE,"9."}</definedName>
    <definedName name="_55D3_" hidden="1">{#N/A,#N/A,TRUE,"목차";#N/A,#N/A,TRUE,"1.";#N/A,#N/A,TRUE,"2.";#N/A,#N/A,TRUE,"3.";#N/A,#N/A,TRUE,"4-1";#N/A,#N/A,TRUE,"-2";#N/A,#N/A,TRUE,"-3";#N/A,#N/A,TRUE,"-4";#N/A,#N/A,TRUE,"5-1";#N/A,#N/A,TRUE,"5-2";#N/A,#N/A,TRUE,"6-1";#N/A,#N/A,TRUE,"6-2";#N/A,#N/A,TRUE,"7-1";#N/A,#N/A,TRUE,"7-2";#N/A,#N/A,TRUE,"8.";#N/A,#N/A,TRUE,"9."}</definedName>
    <definedName name="_57a31_" hidden="1">{#N/A,#N/A,TRUE,"목차";#N/A,#N/A,TRUE,"1.";#N/A,#N/A,TRUE,"2.";#N/A,#N/A,TRUE,"3.";#N/A,#N/A,TRUE,"4-1";#N/A,#N/A,TRUE,"-2";#N/A,#N/A,TRUE,"-3";#N/A,#N/A,TRUE,"-4";#N/A,#N/A,TRUE,"5-1";#N/A,#N/A,TRUE,"5-2";#N/A,#N/A,TRUE,"6-1";#N/A,#N/A,TRUE,"6-2";#N/A,#N/A,TRUE,"7-1";#N/A,#N/A,TRUE,"7-2";#N/A,#N/A,TRUE,"8.";#N/A,#N/A,TRUE,"9."}</definedName>
    <definedName name="_57E1_" hidden="1">{#N/A,#N/A,TRUE,"목차";#N/A,#N/A,TRUE,"1.";#N/A,#N/A,TRUE,"2.";#N/A,#N/A,TRUE,"3.";#N/A,#N/A,TRUE,"4-1";#N/A,#N/A,TRUE,"-2";#N/A,#N/A,TRUE,"-3";#N/A,#N/A,TRUE,"-4";#N/A,#N/A,TRUE,"5-1";#N/A,#N/A,TRUE,"5-2";#N/A,#N/A,TRUE,"6-1";#N/A,#N/A,TRUE,"6-2";#N/A,#N/A,TRUE,"7-1";#N/A,#N/A,TRUE,"7-2";#N/A,#N/A,TRUE,"8.";#N/A,#N/A,TRUE,"9."}</definedName>
    <definedName name="_59a32_" hidden="1">{#N/A,#N/A,TRUE,"목차";#N/A,#N/A,TRUE,"1.";#N/A,#N/A,TRUE,"2.";#N/A,#N/A,TRUE,"3.";#N/A,#N/A,TRUE,"4-1";#N/A,#N/A,TRUE,"-2";#N/A,#N/A,TRUE,"-3";#N/A,#N/A,TRUE,"-4";#N/A,#N/A,TRUE,"5-1";#N/A,#N/A,TRUE,"5-2";#N/A,#N/A,TRUE,"6-1";#N/A,#N/A,TRUE,"6-2";#N/A,#N/A,TRUE,"7-1";#N/A,#N/A,TRUE,"7-2";#N/A,#N/A,TRUE,"8.";#N/A,#N/A,TRUE,"9."}</definedName>
    <definedName name="_59e10_" hidden="1">{#N/A,#N/A,TRUE,"목차";#N/A,#N/A,TRUE,"1.";#N/A,#N/A,TRUE,"2.";#N/A,#N/A,TRUE,"3.";#N/A,#N/A,TRUE,"4-1";#N/A,#N/A,TRUE,"-2";#N/A,#N/A,TRUE,"-3";#N/A,#N/A,TRUE,"-4";#N/A,#N/A,TRUE,"5-1";#N/A,#N/A,TRUE,"5-2";#N/A,#N/A,TRUE,"6-1";#N/A,#N/A,TRUE,"6-2";#N/A,#N/A,TRUE,"7-1";#N/A,#N/A,TRUE,"7-2";#N/A,#N/A,TRUE,"8.";#N/A,#N/A,TRUE,"9."}</definedName>
    <definedName name="_5A111_" hidden="1">{#N/A,#N/A,TRUE,"목차";#N/A,#N/A,TRUE,"1.";#N/A,#N/A,TRUE,"2.";#N/A,#N/A,TRUE,"3.";#N/A,#N/A,TRUE,"4-1";#N/A,#N/A,TRUE,"-2";#N/A,#N/A,TRUE,"-3";#N/A,#N/A,TRUE,"-4";#N/A,#N/A,TRUE,"5-1";#N/A,#N/A,TRUE,"5-2";#N/A,#N/A,TRUE,"6-1";#N/A,#N/A,TRUE,"6-2";#N/A,#N/A,TRUE,"7-1";#N/A,#N/A,TRUE,"7-2";#N/A,#N/A,TRUE,"8.";#N/A,#N/A,TRUE,"9."}</definedName>
    <definedName name="_61a33_" hidden="1">{#N/A,#N/A,TRUE,"목차";#N/A,#N/A,TRUE,"1.";#N/A,#N/A,TRUE,"2.";#N/A,#N/A,TRUE,"3.";#N/A,#N/A,TRUE,"4-1";#N/A,#N/A,TRUE,"-2";#N/A,#N/A,TRUE,"-3";#N/A,#N/A,TRUE,"-4";#N/A,#N/A,TRUE,"5-1";#N/A,#N/A,TRUE,"5-2";#N/A,#N/A,TRUE,"6-1";#N/A,#N/A,TRUE,"6-2";#N/A,#N/A,TRUE,"7-1";#N/A,#N/A,TRUE,"7-2";#N/A,#N/A,TRUE,"8.";#N/A,#N/A,TRUE,"9."}</definedName>
    <definedName name="_61dt1_" hidden="1">{#N/A,#N/A,TRUE,"목차";#N/A,#N/A,TRUE,"1.";#N/A,#N/A,TRUE,"2.";#N/A,#N/A,TRUE,"3.";#N/A,#N/A,TRUE,"4-1";#N/A,#N/A,TRUE,"-2";#N/A,#N/A,TRUE,"-3";#N/A,#N/A,TRUE,"-4";#N/A,#N/A,TRUE,"5-1";#N/A,#N/A,TRUE,"5-2";#N/A,#N/A,TRUE,"6-1";#N/A,#N/A,TRUE,"6-2";#N/A,#N/A,TRUE,"7-1";#N/A,#N/A,TRUE,"7-2";#N/A,#N/A,TRUE,"8.";#N/A,#N/A,TRUE,"9."}</definedName>
    <definedName name="_61e11_" hidden="1">{#N/A,#N/A,TRUE,"목차";#N/A,#N/A,TRUE,"1.";#N/A,#N/A,TRUE,"2.";#N/A,#N/A,TRUE,"3.";#N/A,#N/A,TRUE,"4-1";#N/A,#N/A,TRUE,"-2";#N/A,#N/A,TRUE,"-3";#N/A,#N/A,TRUE,"-4";#N/A,#N/A,TRUE,"5-1";#N/A,#N/A,TRUE,"5-2";#N/A,#N/A,TRUE,"6-1";#N/A,#N/A,TRUE,"6-2";#N/A,#N/A,TRUE,"7-1";#N/A,#N/A,TRUE,"7-2";#N/A,#N/A,TRUE,"8.";#N/A,#N/A,TRUE,"9."}</definedName>
    <definedName name="_63a34_" hidden="1">{#N/A,#N/A,TRUE,"목차";#N/A,#N/A,TRUE,"1.";#N/A,#N/A,TRUE,"2.";#N/A,#N/A,TRUE,"3.";#N/A,#N/A,TRUE,"4-1";#N/A,#N/A,TRUE,"-2";#N/A,#N/A,TRUE,"-3";#N/A,#N/A,TRUE,"-4";#N/A,#N/A,TRUE,"5-1";#N/A,#N/A,TRUE,"5-2";#N/A,#N/A,TRUE,"6-1";#N/A,#N/A,TRUE,"6-2";#N/A,#N/A,TRUE,"7-1";#N/A,#N/A,TRUE,"7-2";#N/A,#N/A,TRUE,"8.";#N/A,#N/A,TRUE,"9."}</definedName>
    <definedName name="_63e12_" hidden="1">{#N/A,#N/A,TRUE,"목차";#N/A,#N/A,TRUE,"1.";#N/A,#N/A,TRUE,"2.";#N/A,#N/A,TRUE,"3.";#N/A,#N/A,TRUE,"4-1";#N/A,#N/A,TRUE,"-2";#N/A,#N/A,TRUE,"-3";#N/A,#N/A,TRUE,"-4";#N/A,#N/A,TRUE,"5-1";#N/A,#N/A,TRUE,"5-2";#N/A,#N/A,TRUE,"6-1";#N/A,#N/A,TRUE,"6-2";#N/A,#N/A,TRUE,"7-1";#N/A,#N/A,TRUE,"7-2";#N/A,#N/A,TRUE,"8.";#N/A,#N/A,TRUE,"9."}</definedName>
    <definedName name="_63el55_" hidden="1">{#N/A,#N/A,TRUE,"목차";#N/A,#N/A,TRUE,"1.";#N/A,#N/A,TRUE,"2.";#N/A,#N/A,TRUE,"3.";#N/A,#N/A,TRUE,"4-1";#N/A,#N/A,TRUE,"-2";#N/A,#N/A,TRUE,"-3";#N/A,#N/A,TRUE,"-4";#N/A,#N/A,TRUE,"5-1";#N/A,#N/A,TRUE,"5-2";#N/A,#N/A,TRUE,"6-1";#N/A,#N/A,TRUE,"6-2";#N/A,#N/A,TRUE,"7-1";#N/A,#N/A,TRUE,"7-2";#N/A,#N/A,TRUE,"8.";#N/A,#N/A,TRUE,"9."}</definedName>
    <definedName name="_65a36_" hidden="1">{#N/A,#N/A,TRUE,"목차";#N/A,#N/A,TRUE,"1.";#N/A,#N/A,TRUE,"2.";#N/A,#N/A,TRUE,"3.";#N/A,#N/A,TRUE,"4-1";#N/A,#N/A,TRUE,"-2";#N/A,#N/A,TRUE,"-3";#N/A,#N/A,TRUE,"-4";#N/A,#N/A,TRUE,"5-1";#N/A,#N/A,TRUE,"5-2";#N/A,#N/A,TRUE,"6-1";#N/A,#N/A,TRUE,"6-2";#N/A,#N/A,TRUE,"7-1";#N/A,#N/A,TRUE,"7-2";#N/A,#N/A,TRUE,"8.";#N/A,#N/A,TRUE,"9."}</definedName>
    <definedName name="_65e13_" hidden="1">{#N/A,#N/A,TRUE,"목차";#N/A,#N/A,TRUE,"1.";#N/A,#N/A,TRUE,"2.";#N/A,#N/A,TRUE,"3.";#N/A,#N/A,TRUE,"4-1";#N/A,#N/A,TRUE,"-2";#N/A,#N/A,TRUE,"-3";#N/A,#N/A,TRUE,"-4";#N/A,#N/A,TRUE,"5-1";#N/A,#N/A,TRUE,"5-2";#N/A,#N/A,TRUE,"6-1";#N/A,#N/A,TRUE,"6-2";#N/A,#N/A,TRUE,"7-1";#N/A,#N/A,TRUE,"7-2";#N/A,#N/A,TRUE,"8.";#N/A,#N/A,TRUE,"9."}</definedName>
    <definedName name="_65el68_" hidden="1">{#N/A,#N/A,TRUE,"목차";#N/A,#N/A,TRUE,"1.";#N/A,#N/A,TRUE,"2.";#N/A,#N/A,TRUE,"3.";#N/A,#N/A,TRUE,"4-1";#N/A,#N/A,TRUE,"-2";#N/A,#N/A,TRUE,"-3";#N/A,#N/A,TRUE,"-4";#N/A,#N/A,TRUE,"5-1";#N/A,#N/A,TRUE,"5-2";#N/A,#N/A,TRUE,"6-1";#N/A,#N/A,TRUE,"6-2";#N/A,#N/A,TRUE,"7-1";#N/A,#N/A,TRUE,"7-2";#N/A,#N/A,TRUE,"8.";#N/A,#N/A,TRUE,"9."}</definedName>
    <definedName name="_67a37_" hidden="1">{#N/A,#N/A,TRUE,"목차";#N/A,#N/A,TRUE,"1.";#N/A,#N/A,TRUE,"2.";#N/A,#N/A,TRUE,"3.";#N/A,#N/A,TRUE,"4-1";#N/A,#N/A,TRUE,"-2";#N/A,#N/A,TRUE,"-3";#N/A,#N/A,TRUE,"-4";#N/A,#N/A,TRUE,"5-1";#N/A,#N/A,TRUE,"5-2";#N/A,#N/A,TRUE,"6-1";#N/A,#N/A,TRUE,"6-2";#N/A,#N/A,TRUE,"7-1";#N/A,#N/A,TRUE,"7-2";#N/A,#N/A,TRUE,"8.";#N/A,#N/A,TRUE,"9."}</definedName>
    <definedName name="_67e15_" hidden="1">{#N/A,#N/A,TRUE,"목차";#N/A,#N/A,TRUE,"1.";#N/A,#N/A,TRUE,"2.";#N/A,#N/A,TRUE,"3.";#N/A,#N/A,TRUE,"4-1";#N/A,#N/A,TRUE,"-2";#N/A,#N/A,TRUE,"-3";#N/A,#N/A,TRUE,"-4";#N/A,#N/A,TRUE,"5-1";#N/A,#N/A,TRUE,"5-2";#N/A,#N/A,TRUE,"6-1";#N/A,#N/A,TRUE,"6-2";#N/A,#N/A,TRUE,"7-1";#N/A,#N/A,TRUE,"7-2";#N/A,#N/A,TRUE,"8.";#N/A,#N/A,TRUE,"9."}</definedName>
    <definedName name="_67G1_" hidden="1">{#N/A,#N/A,TRUE,"LOADCOVE";#N/A,#N/A,TRUE,"PAGE001";#N/A,#N/A,TRUE,"PAGE002";#N/A,#N/A,TRUE,"PAGE003";#N/A,#N/A,TRUE,"PAGE004";#N/A,#N/A,TRUE,"PAGE005";#N/A,#N/A,TRUE,"PAGE006";#N/A,#N/A,TRUE,"PAGE007";#N/A,#N/A,TRUE,"PAGE008";#N/A,#N/A,TRUE,"PAGE009";#N/A,#N/A,TRUE,"PAGE010";#N/A,#N/A,TRUE,"PAGE011";#N/A,#N/A,TRUE,"PAGE012";#N/A,#N/A,TRUE,"PAGE013"}</definedName>
    <definedName name="_69a38_" hidden="1">{#N/A,#N/A,TRUE,"목차";#N/A,#N/A,TRUE,"1.";#N/A,#N/A,TRUE,"2.";#N/A,#N/A,TRUE,"3.";#N/A,#N/A,TRUE,"4-1";#N/A,#N/A,TRUE,"-2";#N/A,#N/A,TRUE,"-3";#N/A,#N/A,TRUE,"-4";#N/A,#N/A,TRUE,"5-1";#N/A,#N/A,TRUE,"5-2";#N/A,#N/A,TRUE,"6-1";#N/A,#N/A,TRUE,"6-2";#N/A,#N/A,TRUE,"7-1";#N/A,#N/A,TRUE,"7-2";#N/A,#N/A,TRUE,"8.";#N/A,#N/A,TRUE,"9."}</definedName>
    <definedName name="_69e16_" hidden="1">{#N/A,#N/A,TRUE,"목차";#N/A,#N/A,TRUE,"1.";#N/A,#N/A,TRUE,"2.";#N/A,#N/A,TRUE,"3.";#N/A,#N/A,TRUE,"4-1";#N/A,#N/A,TRUE,"-2";#N/A,#N/A,TRUE,"-3";#N/A,#N/A,TRUE,"-4";#N/A,#N/A,TRUE,"5-1";#N/A,#N/A,TRUE,"5-2";#N/A,#N/A,TRUE,"6-1";#N/A,#N/A,TRUE,"6-2";#N/A,#N/A,TRUE,"7-1";#N/A,#N/A,TRUE,"7-2";#N/A,#N/A,TRUE,"8.";#N/A,#N/A,TRUE,"9."}</definedName>
    <definedName name="_69Q1_" hidden="1">{#N/A,#N/A,TRUE,"목차";#N/A,#N/A,TRUE,"1.";#N/A,#N/A,TRUE,"2.";#N/A,#N/A,TRUE,"3.";#N/A,#N/A,TRUE,"4-1";#N/A,#N/A,TRUE,"-2";#N/A,#N/A,TRUE,"-3";#N/A,#N/A,TRUE,"-4";#N/A,#N/A,TRUE,"5-1";#N/A,#N/A,TRUE,"5-2";#N/A,#N/A,TRUE,"6-1";#N/A,#N/A,TRUE,"6-2";#N/A,#N/A,TRUE,"7-1";#N/A,#N/A,TRUE,"7-2";#N/A,#N/A,TRUE,"8.";#N/A,#N/A,TRUE,"9."}</definedName>
    <definedName name="_6dt1_" hidden="1">{#N/A,#N/A,TRUE,"목차";#N/A,#N/A,TRUE,"1.";#N/A,#N/A,TRUE,"2.";#N/A,#N/A,TRUE,"3.";#N/A,#N/A,TRUE,"4-1";#N/A,#N/A,TRUE,"-2";#N/A,#N/A,TRUE,"-3";#N/A,#N/A,TRUE,"-4";#N/A,#N/A,TRUE,"5-1";#N/A,#N/A,TRUE,"5-2";#N/A,#N/A,TRUE,"6-1";#N/A,#N/A,TRUE,"6-2";#N/A,#N/A,TRUE,"7-1";#N/A,#N/A,TRUE,"7-2";#N/A,#N/A,TRUE,"8.";#N/A,#N/A,TRUE,"9."}</definedName>
    <definedName name="_70k1_" hidden="1">{#N/A,#N/A,TRUE,"목차";#N/A,#N/A,TRUE,"1.";#N/A,#N/A,TRUE,"2.";#N/A,#N/A,TRUE,"3.";#N/A,#N/A,TRUE,"4-1";#N/A,#N/A,TRUE,"-2";#N/A,#N/A,TRUE,"-3";#N/A,#N/A,TRUE,"-4";#N/A,#N/A,TRUE,"5-1";#N/A,#N/A,TRUE,"5-2";#N/A,#N/A,TRUE,"6-1";#N/A,#N/A,TRUE,"6-2";#N/A,#N/A,TRUE,"7-1";#N/A,#N/A,TRUE,"7-2";#N/A,#N/A,TRUE,"8.";#N/A,#N/A,TRUE,"9."}</definedName>
    <definedName name="_71a39_" hidden="1">{#N/A,#N/A,TRUE,"목차";#N/A,#N/A,TRUE,"1.";#N/A,#N/A,TRUE,"2.";#N/A,#N/A,TRUE,"3.";#N/A,#N/A,TRUE,"4-1";#N/A,#N/A,TRUE,"-2";#N/A,#N/A,TRUE,"-3";#N/A,#N/A,TRUE,"-4";#N/A,#N/A,TRUE,"5-1";#N/A,#N/A,TRUE,"5-2";#N/A,#N/A,TRUE,"6-1";#N/A,#N/A,TRUE,"6-2";#N/A,#N/A,TRUE,"7-1";#N/A,#N/A,TRUE,"7-2";#N/A,#N/A,TRUE,"8.";#N/A,#N/A,TRUE,"9."}</definedName>
    <definedName name="_71e17_" hidden="1">{#N/A,#N/A,TRUE,"목차";#N/A,#N/A,TRUE,"1.";#N/A,#N/A,TRUE,"2.";#N/A,#N/A,TRUE,"3.";#N/A,#N/A,TRUE,"4-1";#N/A,#N/A,TRUE,"-2";#N/A,#N/A,TRUE,"-3";#N/A,#N/A,TRUE,"-4";#N/A,#N/A,TRUE,"5-1";#N/A,#N/A,TRUE,"5-2";#N/A,#N/A,TRUE,"6-1";#N/A,#N/A,TRUE,"6-2";#N/A,#N/A,TRUE,"7-1";#N/A,#N/A,TRUE,"7-2";#N/A,#N/A,TRUE,"8.";#N/A,#N/A,TRUE,"9."}</definedName>
    <definedName name="_71Q10_" hidden="1">{#N/A,#N/A,TRUE,"목차";#N/A,#N/A,TRUE,"1.";#N/A,#N/A,TRUE,"2.";#N/A,#N/A,TRUE,"3.";#N/A,#N/A,TRUE,"4-1";#N/A,#N/A,TRUE,"-2";#N/A,#N/A,TRUE,"-3";#N/A,#N/A,TRUE,"-4";#N/A,#N/A,TRUE,"5-1";#N/A,#N/A,TRUE,"5-2";#N/A,#N/A,TRUE,"6-1";#N/A,#N/A,TRUE,"6-2";#N/A,#N/A,TRUE,"7-1";#N/A,#N/A,TRUE,"7-2";#N/A,#N/A,TRUE,"8.";#N/A,#N/A,TRUE,"9."}</definedName>
    <definedName name="_73a4_" hidden="1">{#N/A,#N/A,TRUE,"목차";#N/A,#N/A,TRUE,"1.";#N/A,#N/A,TRUE,"2.";#N/A,#N/A,TRUE,"3.";#N/A,#N/A,TRUE,"4-1";#N/A,#N/A,TRUE,"-2";#N/A,#N/A,TRUE,"-3";#N/A,#N/A,TRUE,"-4";#N/A,#N/A,TRUE,"5-1";#N/A,#N/A,TRUE,"5-2";#N/A,#N/A,TRUE,"6-1";#N/A,#N/A,TRUE,"6-2";#N/A,#N/A,TRUE,"7-1";#N/A,#N/A,TRUE,"7-2";#N/A,#N/A,TRUE,"8.";#N/A,#N/A,TRUE,"9."}</definedName>
    <definedName name="_73e18_" hidden="1">{#N/A,#N/A,TRUE,"목차";#N/A,#N/A,TRUE,"1.";#N/A,#N/A,TRUE,"2.";#N/A,#N/A,TRUE,"3.";#N/A,#N/A,TRUE,"4-1";#N/A,#N/A,TRUE,"-2";#N/A,#N/A,TRUE,"-3";#N/A,#N/A,TRUE,"-4";#N/A,#N/A,TRUE,"5-1";#N/A,#N/A,TRUE,"5-2";#N/A,#N/A,TRUE,"6-1";#N/A,#N/A,TRUE,"6-2";#N/A,#N/A,TRUE,"7-1";#N/A,#N/A,TRUE,"7-2";#N/A,#N/A,TRUE,"8.";#N/A,#N/A,TRUE,"9."}</definedName>
    <definedName name="_73Q2_" hidden="1">{#N/A,#N/A,TRUE,"목차";#N/A,#N/A,TRUE,"1.";#N/A,#N/A,TRUE,"2.";#N/A,#N/A,TRUE,"3.";#N/A,#N/A,TRUE,"4-1";#N/A,#N/A,TRUE,"-2";#N/A,#N/A,TRUE,"-3";#N/A,#N/A,TRUE,"-4";#N/A,#N/A,TRUE,"5-1";#N/A,#N/A,TRUE,"5-2";#N/A,#N/A,TRUE,"6-1";#N/A,#N/A,TRUE,"6-2";#N/A,#N/A,TRUE,"7-1";#N/A,#N/A,TRUE,"7-2";#N/A,#N/A,TRUE,"8.";#N/A,#N/A,TRUE,"9."}</definedName>
    <definedName name="_75a40_" hidden="1">{#N/A,#N/A,TRUE,"목차";#N/A,#N/A,TRUE,"1.";#N/A,#N/A,TRUE,"2.";#N/A,#N/A,TRUE,"3.";#N/A,#N/A,TRUE,"4-1";#N/A,#N/A,TRUE,"-2";#N/A,#N/A,TRUE,"-3";#N/A,#N/A,TRUE,"-4";#N/A,#N/A,TRUE,"5-1";#N/A,#N/A,TRUE,"5-2";#N/A,#N/A,TRUE,"6-1";#N/A,#N/A,TRUE,"6-2";#N/A,#N/A,TRUE,"7-1";#N/A,#N/A,TRUE,"7-2";#N/A,#N/A,TRUE,"8.";#N/A,#N/A,TRUE,"9."}</definedName>
    <definedName name="_75e19_" hidden="1">{#N/A,#N/A,TRUE,"목차";#N/A,#N/A,TRUE,"1.";#N/A,#N/A,TRUE,"2.";#N/A,#N/A,TRUE,"3.";#N/A,#N/A,TRUE,"4-1";#N/A,#N/A,TRUE,"-2";#N/A,#N/A,TRUE,"-3";#N/A,#N/A,TRUE,"-4";#N/A,#N/A,TRUE,"5-1";#N/A,#N/A,TRUE,"5-2";#N/A,#N/A,TRUE,"6-1";#N/A,#N/A,TRUE,"6-2";#N/A,#N/A,TRUE,"7-1";#N/A,#N/A,TRUE,"7-2";#N/A,#N/A,TRUE,"8.";#N/A,#N/A,TRUE,"9."}</definedName>
    <definedName name="_75Q3_" hidden="1">{#N/A,#N/A,TRUE,"목차";#N/A,#N/A,TRUE,"1.";#N/A,#N/A,TRUE,"2.";#N/A,#N/A,TRUE,"3.";#N/A,#N/A,TRUE,"4-1";#N/A,#N/A,TRUE,"-2";#N/A,#N/A,TRUE,"-3";#N/A,#N/A,TRUE,"-4";#N/A,#N/A,TRUE,"5-1";#N/A,#N/A,TRUE,"5-2";#N/A,#N/A,TRUE,"6-1";#N/A,#N/A,TRUE,"6-2";#N/A,#N/A,TRUE,"7-1";#N/A,#N/A,TRUE,"7-2";#N/A,#N/A,TRUE,"8.";#N/A,#N/A,TRUE,"9."}</definedName>
    <definedName name="_77a41_" hidden="1">{#N/A,#N/A,TRUE,"목차";#N/A,#N/A,TRUE,"1.";#N/A,#N/A,TRUE,"2.";#N/A,#N/A,TRUE,"3.";#N/A,#N/A,TRUE,"4-1";#N/A,#N/A,TRUE,"-2";#N/A,#N/A,TRUE,"-3";#N/A,#N/A,TRUE,"-4";#N/A,#N/A,TRUE,"5-1";#N/A,#N/A,TRUE,"5-2";#N/A,#N/A,TRUE,"6-1";#N/A,#N/A,TRUE,"6-2";#N/A,#N/A,TRUE,"7-1";#N/A,#N/A,TRUE,"7-2";#N/A,#N/A,TRUE,"8.";#N/A,#N/A,TRUE,"9."}</definedName>
    <definedName name="_77e2_" hidden="1">{#N/A,#N/A,TRUE,"목차";#N/A,#N/A,TRUE,"1.";#N/A,#N/A,TRUE,"2.";#N/A,#N/A,TRUE,"3.";#N/A,#N/A,TRUE,"4-1";#N/A,#N/A,TRUE,"-2";#N/A,#N/A,TRUE,"-3";#N/A,#N/A,TRUE,"-4";#N/A,#N/A,TRUE,"5-1";#N/A,#N/A,TRUE,"5-2";#N/A,#N/A,TRUE,"6-1";#N/A,#N/A,TRUE,"6-2";#N/A,#N/A,TRUE,"7-1";#N/A,#N/A,TRUE,"7-2";#N/A,#N/A,TRUE,"8.";#N/A,#N/A,TRUE,"9."}</definedName>
    <definedName name="_77Q4_" hidden="1">{#N/A,#N/A,TRUE,"목차";#N/A,#N/A,TRUE,"1.";#N/A,#N/A,TRUE,"2.";#N/A,#N/A,TRUE,"3.";#N/A,#N/A,TRUE,"4-1";#N/A,#N/A,TRUE,"-2";#N/A,#N/A,TRUE,"-3";#N/A,#N/A,TRUE,"-4";#N/A,#N/A,TRUE,"5-1";#N/A,#N/A,TRUE,"5-2";#N/A,#N/A,TRUE,"6-1";#N/A,#N/A,TRUE,"6-2";#N/A,#N/A,TRUE,"7-1";#N/A,#N/A,TRUE,"7-2";#N/A,#N/A,TRUE,"8.";#N/A,#N/A,TRUE,"9."}</definedName>
    <definedName name="_79a42_" hidden="1">{#N/A,#N/A,TRUE,"목차";#N/A,#N/A,TRUE,"1.";#N/A,#N/A,TRUE,"2.";#N/A,#N/A,TRUE,"3.";#N/A,#N/A,TRUE,"4-1";#N/A,#N/A,TRUE,"-2";#N/A,#N/A,TRUE,"-3";#N/A,#N/A,TRUE,"-4";#N/A,#N/A,TRUE,"5-1";#N/A,#N/A,TRUE,"5-2";#N/A,#N/A,TRUE,"6-1";#N/A,#N/A,TRUE,"6-2";#N/A,#N/A,TRUE,"7-1";#N/A,#N/A,TRUE,"7-2";#N/A,#N/A,TRUE,"8.";#N/A,#N/A,TRUE,"9."}</definedName>
    <definedName name="_79e20_" hidden="1">{#N/A,#N/A,TRUE,"목차";#N/A,#N/A,TRUE,"1.";#N/A,#N/A,TRUE,"2.";#N/A,#N/A,TRUE,"3.";#N/A,#N/A,TRUE,"4-1";#N/A,#N/A,TRUE,"-2";#N/A,#N/A,TRUE,"-3";#N/A,#N/A,TRUE,"-4";#N/A,#N/A,TRUE,"5-1";#N/A,#N/A,TRUE,"5-2";#N/A,#N/A,TRUE,"6-1";#N/A,#N/A,TRUE,"6-2";#N/A,#N/A,TRUE,"7-1";#N/A,#N/A,TRUE,"7-2";#N/A,#N/A,TRUE,"8.";#N/A,#N/A,TRUE,"9."}</definedName>
    <definedName name="_79Q6_" hidden="1">{#N/A,#N/A,TRUE,"목차";#N/A,#N/A,TRUE,"1.";#N/A,#N/A,TRUE,"2.";#N/A,#N/A,TRUE,"3.";#N/A,#N/A,TRUE,"4-1";#N/A,#N/A,TRUE,"-2";#N/A,#N/A,TRUE,"-3";#N/A,#N/A,TRUE,"-4";#N/A,#N/A,TRUE,"5-1";#N/A,#N/A,TRUE,"5-2";#N/A,#N/A,TRUE,"6-1";#N/A,#N/A,TRUE,"6-2";#N/A,#N/A,TRUE,"7-1";#N/A,#N/A,TRUE,"7-2";#N/A,#N/A,TRUE,"8.";#N/A,#N/A,TRUE,"9."}</definedName>
    <definedName name="_7A112_" hidden="1">{#N/A,#N/A,TRUE,"목차";#N/A,#N/A,TRUE,"1.";#N/A,#N/A,TRUE,"2.";#N/A,#N/A,TRUE,"3.";#N/A,#N/A,TRUE,"4-1";#N/A,#N/A,TRUE,"-2";#N/A,#N/A,TRUE,"-3";#N/A,#N/A,TRUE,"-4";#N/A,#N/A,TRUE,"5-1";#N/A,#N/A,TRUE,"5-2";#N/A,#N/A,TRUE,"6-1";#N/A,#N/A,TRUE,"6-2";#N/A,#N/A,TRUE,"7-1";#N/A,#N/A,TRUE,"7-2";#N/A,#N/A,TRUE,"8.";#N/A,#N/A,TRUE,"9."}</definedName>
    <definedName name="_7dt1_" hidden="1">{#N/A,#N/A,TRUE,"목차";#N/A,#N/A,TRUE,"1.";#N/A,#N/A,TRUE,"2.";#N/A,#N/A,TRUE,"3.";#N/A,#N/A,TRUE,"4-1";#N/A,#N/A,TRUE,"-2";#N/A,#N/A,TRUE,"-3";#N/A,#N/A,TRUE,"-4";#N/A,#N/A,TRUE,"5-1";#N/A,#N/A,TRUE,"5-2";#N/A,#N/A,TRUE,"6-1";#N/A,#N/A,TRUE,"6-2";#N/A,#N/A,TRUE,"7-1";#N/A,#N/A,TRUE,"7-2";#N/A,#N/A,TRUE,"8.";#N/A,#N/A,TRUE,"9."}</definedName>
    <definedName name="_7el55_" hidden="1">{#N/A,#N/A,TRUE,"목차";#N/A,#N/A,TRUE,"1.";#N/A,#N/A,TRUE,"2.";#N/A,#N/A,TRUE,"3.";#N/A,#N/A,TRUE,"4-1";#N/A,#N/A,TRUE,"-2";#N/A,#N/A,TRUE,"-3";#N/A,#N/A,TRUE,"-4";#N/A,#N/A,TRUE,"5-1";#N/A,#N/A,TRUE,"5-2";#N/A,#N/A,TRUE,"6-1";#N/A,#N/A,TRUE,"6-2";#N/A,#N/A,TRUE,"7-1";#N/A,#N/A,TRUE,"7-2";#N/A,#N/A,TRUE,"8.";#N/A,#N/A,TRUE,"9."}</definedName>
    <definedName name="_81a43_" hidden="1">{#N/A,#N/A,TRUE,"목차";#N/A,#N/A,TRUE,"1.";#N/A,#N/A,TRUE,"2.";#N/A,#N/A,TRUE,"3.";#N/A,#N/A,TRUE,"4-1";#N/A,#N/A,TRUE,"-2";#N/A,#N/A,TRUE,"-3";#N/A,#N/A,TRUE,"-4";#N/A,#N/A,TRUE,"5-1";#N/A,#N/A,TRUE,"5-2";#N/A,#N/A,TRUE,"6-1";#N/A,#N/A,TRUE,"6-2";#N/A,#N/A,TRUE,"7-1";#N/A,#N/A,TRUE,"7-2";#N/A,#N/A,TRUE,"8.";#N/A,#N/A,TRUE,"9."}</definedName>
    <definedName name="_81e21_" hidden="1">{#N/A,#N/A,TRUE,"목차";#N/A,#N/A,TRUE,"1.";#N/A,#N/A,TRUE,"2.";#N/A,#N/A,TRUE,"3.";#N/A,#N/A,TRUE,"4-1";#N/A,#N/A,TRUE,"-2";#N/A,#N/A,TRUE,"-3";#N/A,#N/A,TRUE,"-4";#N/A,#N/A,TRUE,"5-1";#N/A,#N/A,TRUE,"5-2";#N/A,#N/A,TRUE,"6-1";#N/A,#N/A,TRUE,"6-2";#N/A,#N/A,TRUE,"7-1";#N/A,#N/A,TRUE,"7-2";#N/A,#N/A,TRUE,"8.";#N/A,#N/A,TRUE,"9."}</definedName>
    <definedName name="_81Q7_" hidden="1">{#N/A,#N/A,TRUE,"목차";#N/A,#N/A,TRUE,"1.";#N/A,#N/A,TRUE,"2.";#N/A,#N/A,TRUE,"3.";#N/A,#N/A,TRUE,"4-1";#N/A,#N/A,TRUE,"-2";#N/A,#N/A,TRUE,"-3";#N/A,#N/A,TRUE,"-4";#N/A,#N/A,TRUE,"5-1";#N/A,#N/A,TRUE,"5-2";#N/A,#N/A,TRUE,"6-1";#N/A,#N/A,TRUE,"6-2";#N/A,#N/A,TRUE,"7-1";#N/A,#N/A,TRUE,"7-2";#N/A,#N/A,TRUE,"8.";#N/A,#N/A,TRUE,"9."}</definedName>
    <definedName name="_82AP2_" hidden="1">{#N/A,#N/A,TRUE,"LOADCOVE";#N/A,#N/A,TRUE,"PAGE001";#N/A,#N/A,TRUE,"PAGE002";#N/A,#N/A,TRUE,"PAGE003";#N/A,#N/A,TRUE,"PAGE004";#N/A,#N/A,TRUE,"PAGE005";#N/A,#N/A,TRUE,"PAGE006";#N/A,#N/A,TRUE,"PAGE007";#N/A,#N/A,TRUE,"PAGE008";#N/A,#N/A,TRUE,"PAGE009";#N/A,#N/A,TRUE,"PAGE010";#N/A,#N/A,TRUE,"PAGE011";#N/A,#N/A,TRUE,"PAGE012";#N/A,#N/A,TRUE,"PAGE013"}</definedName>
    <definedName name="_83a44_" hidden="1">{#N/A,#N/A,TRUE,"목차";#N/A,#N/A,TRUE,"1.";#N/A,#N/A,TRUE,"2.";#N/A,#N/A,TRUE,"3.";#N/A,#N/A,TRUE,"4-1";#N/A,#N/A,TRUE,"-2";#N/A,#N/A,TRUE,"-3";#N/A,#N/A,TRUE,"-4";#N/A,#N/A,TRUE,"5-1";#N/A,#N/A,TRUE,"5-2";#N/A,#N/A,TRUE,"6-1";#N/A,#N/A,TRUE,"6-2";#N/A,#N/A,TRUE,"7-1";#N/A,#N/A,TRUE,"7-2";#N/A,#N/A,TRUE,"8.";#N/A,#N/A,TRUE,"9."}</definedName>
    <definedName name="_83e3_" hidden="1">{#N/A,#N/A,TRUE,"목차";#N/A,#N/A,TRUE,"1.";#N/A,#N/A,TRUE,"2.";#N/A,#N/A,TRUE,"3.";#N/A,#N/A,TRUE,"4-1";#N/A,#N/A,TRUE,"-2";#N/A,#N/A,TRUE,"-3";#N/A,#N/A,TRUE,"-4";#N/A,#N/A,TRUE,"5-1";#N/A,#N/A,TRUE,"5-2";#N/A,#N/A,TRUE,"6-1";#N/A,#N/A,TRUE,"6-2";#N/A,#N/A,TRUE,"7-1";#N/A,#N/A,TRUE,"7-2";#N/A,#N/A,TRUE,"8.";#N/A,#N/A,TRUE,"9."}</definedName>
    <definedName name="_83Q8_" hidden="1">{#N/A,#N/A,TRUE,"목차";#N/A,#N/A,TRUE,"1.";#N/A,#N/A,TRUE,"2.";#N/A,#N/A,TRUE,"3.";#N/A,#N/A,TRUE,"4-1";#N/A,#N/A,TRUE,"-2";#N/A,#N/A,TRUE,"-3";#N/A,#N/A,TRUE,"-4";#N/A,#N/A,TRUE,"5-1";#N/A,#N/A,TRUE,"5-2";#N/A,#N/A,TRUE,"6-1";#N/A,#N/A,TRUE,"6-2";#N/A,#N/A,TRUE,"7-1";#N/A,#N/A,TRUE,"7-2";#N/A,#N/A,TRUE,"8.";#N/A,#N/A,TRUE,"9."}</definedName>
    <definedName name="_85a45_" hidden="1">{#N/A,#N/A,TRUE,"목차";#N/A,#N/A,TRUE,"1.";#N/A,#N/A,TRUE,"2.";#N/A,#N/A,TRUE,"3.";#N/A,#N/A,TRUE,"4-1";#N/A,#N/A,TRUE,"-2";#N/A,#N/A,TRUE,"-3";#N/A,#N/A,TRUE,"-4";#N/A,#N/A,TRUE,"5-1";#N/A,#N/A,TRUE,"5-2";#N/A,#N/A,TRUE,"6-1";#N/A,#N/A,TRUE,"6-2";#N/A,#N/A,TRUE,"7-1";#N/A,#N/A,TRUE,"7-2";#N/A,#N/A,TRUE,"8.";#N/A,#N/A,TRUE,"9."}</definedName>
    <definedName name="_85e4_" hidden="1">{#N/A,#N/A,TRUE,"목차";#N/A,#N/A,TRUE,"1.";#N/A,#N/A,TRUE,"2.";#N/A,#N/A,TRUE,"3.";#N/A,#N/A,TRUE,"4-1";#N/A,#N/A,TRUE,"-2";#N/A,#N/A,TRUE,"-3";#N/A,#N/A,TRUE,"-4";#N/A,#N/A,TRUE,"5-1";#N/A,#N/A,TRUE,"5-2";#N/A,#N/A,TRUE,"6-1";#N/A,#N/A,TRUE,"6-2";#N/A,#N/A,TRUE,"7-1";#N/A,#N/A,TRUE,"7-2";#N/A,#N/A,TRUE,"8.";#N/A,#N/A,TRUE,"9."}</definedName>
    <definedName name="_85Q9_" hidden="1">{#N/A,#N/A,TRUE,"목차";#N/A,#N/A,TRUE,"1.";#N/A,#N/A,TRUE,"2.";#N/A,#N/A,TRUE,"3.";#N/A,#N/A,TRUE,"4-1";#N/A,#N/A,TRUE,"-2";#N/A,#N/A,TRUE,"-3";#N/A,#N/A,TRUE,"-4";#N/A,#N/A,TRUE,"5-1";#N/A,#N/A,TRUE,"5-2";#N/A,#N/A,TRUE,"6-1";#N/A,#N/A,TRUE,"6-2";#N/A,#N/A,TRUE,"7-1";#N/A,#N/A,TRUE,"7-2";#N/A,#N/A,TRUE,"8.";#N/A,#N/A,TRUE,"9."}</definedName>
    <definedName name="_87a46_" hidden="1">{#N/A,#N/A,TRUE,"목차";#N/A,#N/A,TRUE,"1.";#N/A,#N/A,TRUE,"2.";#N/A,#N/A,TRUE,"3.";#N/A,#N/A,TRUE,"4-1";#N/A,#N/A,TRUE,"-2";#N/A,#N/A,TRUE,"-3";#N/A,#N/A,TRUE,"-4";#N/A,#N/A,TRUE,"5-1";#N/A,#N/A,TRUE,"5-2";#N/A,#N/A,TRUE,"6-1";#N/A,#N/A,TRUE,"6-2";#N/A,#N/A,TRUE,"7-1";#N/A,#N/A,TRUE,"7-2";#N/A,#N/A,TRUE,"8.";#N/A,#N/A,TRUE,"9."}</definedName>
    <definedName name="_87e5_" hidden="1">{#N/A,#N/A,TRUE,"목차";#N/A,#N/A,TRUE,"1.";#N/A,#N/A,TRUE,"2.";#N/A,#N/A,TRUE,"3.";#N/A,#N/A,TRUE,"4-1";#N/A,#N/A,TRUE,"-2";#N/A,#N/A,TRUE,"-3";#N/A,#N/A,TRUE,"-4";#N/A,#N/A,TRUE,"5-1";#N/A,#N/A,TRUE,"5-2";#N/A,#N/A,TRUE,"6-1";#N/A,#N/A,TRUE,"6-2";#N/A,#N/A,TRUE,"7-1";#N/A,#N/A,TRUE,"7-2";#N/A,#N/A,TRUE,"8.";#N/A,#N/A,TRUE,"9."}</definedName>
    <definedName name="_89a5_" hidden="1">{#N/A,#N/A,TRUE,"목차";#N/A,#N/A,TRUE,"1.";#N/A,#N/A,TRUE,"2.";#N/A,#N/A,TRUE,"3.";#N/A,#N/A,TRUE,"4-1";#N/A,#N/A,TRUE,"-2";#N/A,#N/A,TRUE,"-3";#N/A,#N/A,TRUE,"-4";#N/A,#N/A,TRUE,"5-1";#N/A,#N/A,TRUE,"5-2";#N/A,#N/A,TRUE,"6-1";#N/A,#N/A,TRUE,"6-2";#N/A,#N/A,TRUE,"7-1";#N/A,#N/A,TRUE,"7-2";#N/A,#N/A,TRUE,"8.";#N/A,#N/A,TRUE,"9."}</definedName>
    <definedName name="_89e6_" hidden="1">{#N/A,#N/A,TRUE,"목차";#N/A,#N/A,TRUE,"1.";#N/A,#N/A,TRUE,"2.";#N/A,#N/A,TRUE,"3.";#N/A,#N/A,TRUE,"4-1";#N/A,#N/A,TRUE,"-2";#N/A,#N/A,TRUE,"-3";#N/A,#N/A,TRUE,"-4";#N/A,#N/A,TRUE,"5-1";#N/A,#N/A,TRUE,"5-2";#N/A,#N/A,TRUE,"6-1";#N/A,#N/A,TRUE,"6-2";#N/A,#N/A,TRUE,"7-1";#N/A,#N/A,TRUE,"7-2";#N/A,#N/A,TRUE,"8.";#N/A,#N/A,TRUE,"9."}</definedName>
    <definedName name="_8el68_" hidden="1">{#N/A,#N/A,TRUE,"목차";#N/A,#N/A,TRUE,"1.";#N/A,#N/A,TRUE,"2.";#N/A,#N/A,TRUE,"3.";#N/A,#N/A,TRUE,"4-1";#N/A,#N/A,TRUE,"-2";#N/A,#N/A,TRUE,"-3";#N/A,#N/A,TRUE,"-4";#N/A,#N/A,TRUE,"5-1";#N/A,#N/A,TRUE,"5-2";#N/A,#N/A,TRUE,"6-1";#N/A,#N/A,TRUE,"6-2";#N/A,#N/A,TRUE,"7-1";#N/A,#N/A,TRUE,"7-2";#N/A,#N/A,TRUE,"8.";#N/A,#N/A,TRUE,"9."}</definedName>
    <definedName name="_91a6_" hidden="1">{#N/A,#N/A,TRUE,"목차";#N/A,#N/A,TRUE,"1.";#N/A,#N/A,TRUE,"2.";#N/A,#N/A,TRUE,"3.";#N/A,#N/A,TRUE,"4-1";#N/A,#N/A,TRUE,"-2";#N/A,#N/A,TRUE,"-3";#N/A,#N/A,TRUE,"-4";#N/A,#N/A,TRUE,"5-1";#N/A,#N/A,TRUE,"5-2";#N/A,#N/A,TRUE,"6-1";#N/A,#N/A,TRUE,"6-2";#N/A,#N/A,TRUE,"7-1";#N/A,#N/A,TRUE,"7-2";#N/A,#N/A,TRUE,"8.";#N/A,#N/A,TRUE,"9."}</definedName>
    <definedName name="_91e7_" hidden="1">{#N/A,#N/A,TRUE,"목차";#N/A,#N/A,TRUE,"1.";#N/A,#N/A,TRUE,"2.";#N/A,#N/A,TRUE,"3.";#N/A,#N/A,TRUE,"4-1";#N/A,#N/A,TRUE,"-2";#N/A,#N/A,TRUE,"-3";#N/A,#N/A,TRUE,"-4";#N/A,#N/A,TRUE,"5-1";#N/A,#N/A,TRUE,"5-2";#N/A,#N/A,TRUE,"6-1";#N/A,#N/A,TRUE,"6-2";#N/A,#N/A,TRUE,"7-1";#N/A,#N/A,TRUE,"7-2";#N/A,#N/A,TRUE,"8.";#N/A,#N/A,TRUE,"9."}</definedName>
    <definedName name="_93a7_" hidden="1">{#N/A,#N/A,TRUE,"목차";#N/A,#N/A,TRUE,"1.";#N/A,#N/A,TRUE,"2.";#N/A,#N/A,TRUE,"3.";#N/A,#N/A,TRUE,"4-1";#N/A,#N/A,TRUE,"-2";#N/A,#N/A,TRUE,"-3";#N/A,#N/A,TRUE,"-4";#N/A,#N/A,TRUE,"5-1";#N/A,#N/A,TRUE,"5-2";#N/A,#N/A,TRUE,"6-1";#N/A,#N/A,TRUE,"6-2";#N/A,#N/A,TRUE,"7-1";#N/A,#N/A,TRUE,"7-2";#N/A,#N/A,TRUE,"8.";#N/A,#N/A,TRUE,"9."}</definedName>
    <definedName name="_93e8_" hidden="1">{#N/A,#N/A,TRUE,"목차";#N/A,#N/A,TRUE,"1.";#N/A,#N/A,TRUE,"2.";#N/A,#N/A,TRUE,"3.";#N/A,#N/A,TRUE,"4-1";#N/A,#N/A,TRUE,"-2";#N/A,#N/A,TRUE,"-3";#N/A,#N/A,TRUE,"-4";#N/A,#N/A,TRUE,"5-1";#N/A,#N/A,TRUE,"5-2";#N/A,#N/A,TRUE,"6-1";#N/A,#N/A,TRUE,"6-2";#N/A,#N/A,TRUE,"7-1";#N/A,#N/A,TRUE,"7-2";#N/A,#N/A,TRUE,"8.";#N/A,#N/A,TRUE,"9."}</definedName>
    <definedName name="_95a8_" hidden="1">{#N/A,#N/A,TRUE,"목차";#N/A,#N/A,TRUE,"1.";#N/A,#N/A,TRUE,"2.";#N/A,#N/A,TRUE,"3.";#N/A,#N/A,TRUE,"4-1";#N/A,#N/A,TRUE,"-2";#N/A,#N/A,TRUE,"-3";#N/A,#N/A,TRUE,"-4";#N/A,#N/A,TRUE,"5-1";#N/A,#N/A,TRUE,"5-2";#N/A,#N/A,TRUE,"6-1";#N/A,#N/A,TRUE,"6-2";#N/A,#N/A,TRUE,"7-1";#N/A,#N/A,TRUE,"7-2";#N/A,#N/A,TRUE,"8.";#N/A,#N/A,TRUE,"9."}</definedName>
    <definedName name="_95e9_" hidden="1">{#N/A,#N/A,TRUE,"목차";#N/A,#N/A,TRUE,"1.";#N/A,#N/A,TRUE,"2.";#N/A,#N/A,TRUE,"3.";#N/A,#N/A,TRUE,"4-1";#N/A,#N/A,TRUE,"-2";#N/A,#N/A,TRUE,"-3";#N/A,#N/A,TRUE,"-4";#N/A,#N/A,TRUE,"5-1";#N/A,#N/A,TRUE,"5-2";#N/A,#N/A,TRUE,"6-1";#N/A,#N/A,TRUE,"6-2";#N/A,#N/A,TRUE,"7-1";#N/A,#N/A,TRUE,"7-2";#N/A,#N/A,TRUE,"8.";#N/A,#N/A,TRUE,"9."}</definedName>
    <definedName name="_97a9_" hidden="1">{#N/A,#N/A,TRUE,"목차";#N/A,#N/A,TRUE,"1.";#N/A,#N/A,TRUE,"2.";#N/A,#N/A,TRUE,"3.";#N/A,#N/A,TRUE,"4-1";#N/A,#N/A,TRUE,"-2";#N/A,#N/A,TRUE,"-3";#N/A,#N/A,TRUE,"-4";#N/A,#N/A,TRUE,"5-1";#N/A,#N/A,TRUE,"5-2";#N/A,#N/A,TRUE,"6-1";#N/A,#N/A,TRUE,"6-2";#N/A,#N/A,TRUE,"7-1";#N/A,#N/A,TRUE,"7-2";#N/A,#N/A,TRUE,"8.";#N/A,#N/A,TRUE,"9."}</definedName>
    <definedName name="_97K1_" hidden="1">{#N/A,#N/A,TRUE,"목차";#N/A,#N/A,TRUE,"1.";#N/A,#N/A,TRUE,"2.";#N/A,#N/A,TRUE,"3.";#N/A,#N/A,TRUE,"4-1";#N/A,#N/A,TRUE,"-2";#N/A,#N/A,TRUE,"-3";#N/A,#N/A,TRUE,"-4";#N/A,#N/A,TRUE,"5-1";#N/A,#N/A,TRUE,"5-2";#N/A,#N/A,TRUE,"6-1";#N/A,#N/A,TRUE,"6-2";#N/A,#N/A,TRUE,"7-1";#N/A,#N/A,TRUE,"7-2";#N/A,#N/A,TRUE,"8.";#N/A,#N/A,TRUE,"9."}</definedName>
    <definedName name="_99AA46_" hidden="1">{#N/A,#N/A,TRUE,"LOADCOVE";#N/A,#N/A,TRUE,"PAGE001";#N/A,#N/A,TRUE,"PAGE002";#N/A,#N/A,TRUE,"PAGE003";#N/A,#N/A,TRUE,"PAGE004";#N/A,#N/A,TRUE,"PAGE005";#N/A,#N/A,TRUE,"PAGE006";#N/A,#N/A,TRUE,"PAGE007";#N/A,#N/A,TRUE,"PAGE008";#N/A,#N/A,TRUE,"PAGE009";#N/A,#N/A,TRUE,"PAGE010";#N/A,#N/A,TRUE,"PAGE011";#N/A,#N/A,TRUE,"PAGE012";#N/A,#N/A,TRUE,"PAGE013"}</definedName>
    <definedName name="_9A113_" hidden="1">{#N/A,#N/A,TRUE,"목차";#N/A,#N/A,TRUE,"1.";#N/A,#N/A,TRUE,"2.";#N/A,#N/A,TRUE,"3.";#N/A,#N/A,TRUE,"4-1";#N/A,#N/A,TRUE,"-2";#N/A,#N/A,TRUE,"-3";#N/A,#N/A,TRUE,"-4";#N/A,#N/A,TRUE,"5-1";#N/A,#N/A,TRUE,"5-2";#N/A,#N/A,TRUE,"6-1";#N/A,#N/A,TRUE,"6-2";#N/A,#N/A,TRUE,"7-1";#N/A,#N/A,TRUE,"7-2";#N/A,#N/A,TRUE,"8.";#N/A,#N/A,TRUE,"9."}</definedName>
    <definedName name="_9el55_" hidden="1">{#N/A,#N/A,TRUE,"목차";#N/A,#N/A,TRUE,"1.";#N/A,#N/A,TRUE,"2.";#N/A,#N/A,TRUE,"3.";#N/A,#N/A,TRUE,"4-1";#N/A,#N/A,TRUE,"-2";#N/A,#N/A,TRUE,"-3";#N/A,#N/A,TRUE,"-4";#N/A,#N/A,TRUE,"5-1";#N/A,#N/A,TRUE,"5-2";#N/A,#N/A,TRUE,"6-1";#N/A,#N/A,TRUE,"6-2";#N/A,#N/A,TRUE,"7-1";#N/A,#N/A,TRUE,"7-2";#N/A,#N/A,TRUE,"8.";#N/A,#N/A,TRUE,"9."}</definedName>
    <definedName name="_9k1_" hidden="1">{#N/A,#N/A,TRUE,"목차";#N/A,#N/A,TRUE,"1.";#N/A,#N/A,TRUE,"2.";#N/A,#N/A,TRUE,"3.";#N/A,#N/A,TRUE,"4-1";#N/A,#N/A,TRUE,"-2";#N/A,#N/A,TRUE,"-3";#N/A,#N/A,TRUE,"-4";#N/A,#N/A,TRUE,"5-1";#N/A,#N/A,TRUE,"5-2";#N/A,#N/A,TRUE,"6-1";#N/A,#N/A,TRUE,"6-2";#N/A,#N/A,TRUE,"7-1";#N/A,#N/A,TRUE,"7-2";#N/A,#N/A,TRUE,"8.";#N/A,#N/A,TRUE,"9."}</definedName>
    <definedName name="_a10" hidden="1">{#N/A,#N/A,TRUE,"목차";#N/A,#N/A,TRUE,"1.";#N/A,#N/A,TRUE,"2.";#N/A,#N/A,TRUE,"3.";#N/A,#N/A,TRUE,"4-1";#N/A,#N/A,TRUE,"-2";#N/A,#N/A,TRUE,"-3";#N/A,#N/A,TRUE,"-4";#N/A,#N/A,TRUE,"5-1";#N/A,#N/A,TRUE,"5-2";#N/A,#N/A,TRUE,"6-1";#N/A,#N/A,TRUE,"6-2";#N/A,#N/A,TRUE,"7-1";#N/A,#N/A,TRUE,"7-2";#N/A,#N/A,TRUE,"8.";#N/A,#N/A,TRUE,"9."}</definedName>
    <definedName name="_a11" hidden="1">{#N/A,#N/A,TRUE,"목차";#N/A,#N/A,TRUE,"1.";#N/A,#N/A,TRUE,"2.";#N/A,#N/A,TRUE,"3.";#N/A,#N/A,TRUE,"4-1";#N/A,#N/A,TRUE,"-2";#N/A,#N/A,TRUE,"-3";#N/A,#N/A,TRUE,"-4";#N/A,#N/A,TRUE,"5-1";#N/A,#N/A,TRUE,"5-2";#N/A,#N/A,TRUE,"6-1";#N/A,#N/A,TRUE,"6-2";#N/A,#N/A,TRUE,"7-1";#N/A,#N/A,TRUE,"7-2";#N/A,#N/A,TRUE,"8.";#N/A,#N/A,TRUE,"9."}</definedName>
    <definedName name="_a12" hidden="1">{#N/A,#N/A,TRUE,"목차";#N/A,#N/A,TRUE,"1.";#N/A,#N/A,TRUE,"2.";#N/A,#N/A,TRUE,"3.";#N/A,#N/A,TRUE,"4-1";#N/A,#N/A,TRUE,"-2";#N/A,#N/A,TRUE,"-3";#N/A,#N/A,TRUE,"-4";#N/A,#N/A,TRUE,"5-1";#N/A,#N/A,TRUE,"5-2";#N/A,#N/A,TRUE,"6-1";#N/A,#N/A,TRUE,"6-2";#N/A,#N/A,TRUE,"7-1";#N/A,#N/A,TRUE,"7-2";#N/A,#N/A,TRUE,"8.";#N/A,#N/A,TRUE,"9."}</definedName>
    <definedName name="_a14" hidden="1">{#N/A,#N/A,TRUE,"목차";#N/A,#N/A,TRUE,"1.";#N/A,#N/A,TRUE,"2.";#N/A,#N/A,TRUE,"3.";#N/A,#N/A,TRUE,"4-1";#N/A,#N/A,TRUE,"-2";#N/A,#N/A,TRUE,"-3";#N/A,#N/A,TRUE,"-4";#N/A,#N/A,TRUE,"5-1";#N/A,#N/A,TRUE,"5-2";#N/A,#N/A,TRUE,"6-1";#N/A,#N/A,TRUE,"6-2";#N/A,#N/A,TRUE,"7-1";#N/A,#N/A,TRUE,"7-2";#N/A,#N/A,TRUE,"8.";#N/A,#N/A,TRUE,"9."}</definedName>
    <definedName name="_a15" hidden="1">{#N/A,#N/A,TRUE,"목차";#N/A,#N/A,TRUE,"1.";#N/A,#N/A,TRUE,"2.";#N/A,#N/A,TRUE,"3.";#N/A,#N/A,TRUE,"4-1";#N/A,#N/A,TRUE,"-2";#N/A,#N/A,TRUE,"-3";#N/A,#N/A,TRUE,"-4";#N/A,#N/A,TRUE,"5-1";#N/A,#N/A,TRUE,"5-2";#N/A,#N/A,TRUE,"6-1";#N/A,#N/A,TRUE,"6-2";#N/A,#N/A,TRUE,"7-1";#N/A,#N/A,TRUE,"7-2";#N/A,#N/A,TRUE,"8.";#N/A,#N/A,TRUE,"9."}</definedName>
    <definedName name="_a16" hidden="1">{#N/A,#N/A,TRUE,"목차";#N/A,#N/A,TRUE,"1.";#N/A,#N/A,TRUE,"2.";#N/A,#N/A,TRUE,"3.";#N/A,#N/A,TRUE,"4-1";#N/A,#N/A,TRUE,"-2";#N/A,#N/A,TRUE,"-3";#N/A,#N/A,TRUE,"-4";#N/A,#N/A,TRUE,"5-1";#N/A,#N/A,TRUE,"5-2";#N/A,#N/A,TRUE,"6-1";#N/A,#N/A,TRUE,"6-2";#N/A,#N/A,TRUE,"7-1";#N/A,#N/A,TRUE,"7-2";#N/A,#N/A,TRUE,"8.";#N/A,#N/A,TRUE,"9."}</definedName>
    <definedName name="_a18" hidden="1">{#N/A,#N/A,TRUE,"목차";#N/A,#N/A,TRUE,"1.";#N/A,#N/A,TRUE,"2.";#N/A,#N/A,TRUE,"3.";#N/A,#N/A,TRUE,"4-1";#N/A,#N/A,TRUE,"-2";#N/A,#N/A,TRUE,"-3";#N/A,#N/A,TRUE,"-4";#N/A,#N/A,TRUE,"5-1";#N/A,#N/A,TRUE,"5-2";#N/A,#N/A,TRUE,"6-1";#N/A,#N/A,TRUE,"6-2";#N/A,#N/A,TRUE,"7-1";#N/A,#N/A,TRUE,"7-2";#N/A,#N/A,TRUE,"8.";#N/A,#N/A,TRUE,"9."}</definedName>
    <definedName name="_a19" hidden="1">{#N/A,#N/A,TRUE,"목차";#N/A,#N/A,TRUE,"1.";#N/A,#N/A,TRUE,"2.";#N/A,#N/A,TRUE,"3.";#N/A,#N/A,TRUE,"4-1";#N/A,#N/A,TRUE,"-2";#N/A,#N/A,TRUE,"-3";#N/A,#N/A,TRUE,"-4";#N/A,#N/A,TRUE,"5-1";#N/A,#N/A,TRUE,"5-2";#N/A,#N/A,TRUE,"6-1";#N/A,#N/A,TRUE,"6-2";#N/A,#N/A,TRUE,"7-1";#N/A,#N/A,TRUE,"7-2";#N/A,#N/A,TRUE,"8.";#N/A,#N/A,TRUE,"9."}</definedName>
    <definedName name="_a20" hidden="1">{#N/A,#N/A,TRUE,"목차";#N/A,#N/A,TRUE,"1.";#N/A,#N/A,TRUE,"2.";#N/A,#N/A,TRUE,"3.";#N/A,#N/A,TRUE,"4-1";#N/A,#N/A,TRUE,"-2";#N/A,#N/A,TRUE,"-3";#N/A,#N/A,TRUE,"-4";#N/A,#N/A,TRUE,"5-1";#N/A,#N/A,TRUE,"5-2";#N/A,#N/A,TRUE,"6-1";#N/A,#N/A,TRUE,"6-2";#N/A,#N/A,TRUE,"7-1";#N/A,#N/A,TRUE,"7-2";#N/A,#N/A,TRUE,"8.";#N/A,#N/A,TRUE,"9."}</definedName>
    <definedName name="_a21" hidden="1">{#N/A,#N/A,TRUE,"목차";#N/A,#N/A,TRUE,"1.";#N/A,#N/A,TRUE,"2.";#N/A,#N/A,TRUE,"3.";#N/A,#N/A,TRUE,"4-1";#N/A,#N/A,TRUE,"-2";#N/A,#N/A,TRUE,"-3";#N/A,#N/A,TRUE,"-4";#N/A,#N/A,TRUE,"5-1";#N/A,#N/A,TRUE,"5-2";#N/A,#N/A,TRUE,"6-1";#N/A,#N/A,TRUE,"6-2";#N/A,#N/A,TRUE,"7-1";#N/A,#N/A,TRUE,"7-2";#N/A,#N/A,TRUE,"8.";#N/A,#N/A,TRUE,"9."}</definedName>
    <definedName name="_a24" hidden="1">{#N/A,#N/A,TRUE,"목차";#N/A,#N/A,TRUE,"1.";#N/A,#N/A,TRUE,"2.";#N/A,#N/A,TRUE,"3.";#N/A,#N/A,TRUE,"4-1";#N/A,#N/A,TRUE,"-2";#N/A,#N/A,TRUE,"-3";#N/A,#N/A,TRUE,"-4";#N/A,#N/A,TRUE,"5-1";#N/A,#N/A,TRUE,"5-2";#N/A,#N/A,TRUE,"6-1";#N/A,#N/A,TRUE,"6-2";#N/A,#N/A,TRUE,"7-1";#N/A,#N/A,TRUE,"7-2";#N/A,#N/A,TRUE,"8.";#N/A,#N/A,TRUE,"9."}</definedName>
    <definedName name="_a25" hidden="1">{#N/A,#N/A,TRUE,"목차";#N/A,#N/A,TRUE,"1.";#N/A,#N/A,TRUE,"2.";#N/A,#N/A,TRUE,"3.";#N/A,#N/A,TRUE,"4-1";#N/A,#N/A,TRUE,"-2";#N/A,#N/A,TRUE,"-3";#N/A,#N/A,TRUE,"-4";#N/A,#N/A,TRUE,"5-1";#N/A,#N/A,TRUE,"5-2";#N/A,#N/A,TRUE,"6-1";#N/A,#N/A,TRUE,"6-2";#N/A,#N/A,TRUE,"7-1";#N/A,#N/A,TRUE,"7-2";#N/A,#N/A,TRUE,"8.";#N/A,#N/A,TRUE,"9."}</definedName>
    <definedName name="_a26" hidden="1">{#N/A,#N/A,TRUE,"목차";#N/A,#N/A,TRUE,"1.";#N/A,#N/A,TRUE,"2.";#N/A,#N/A,TRUE,"3.";#N/A,#N/A,TRUE,"4-1";#N/A,#N/A,TRUE,"-2";#N/A,#N/A,TRUE,"-3";#N/A,#N/A,TRUE,"-4";#N/A,#N/A,TRUE,"5-1";#N/A,#N/A,TRUE,"5-2";#N/A,#N/A,TRUE,"6-1";#N/A,#N/A,TRUE,"6-2";#N/A,#N/A,TRUE,"7-1";#N/A,#N/A,TRUE,"7-2";#N/A,#N/A,TRUE,"8.";#N/A,#N/A,TRUE,"9."}</definedName>
    <definedName name="_a27" hidden="1">{#N/A,#N/A,TRUE,"목차";#N/A,#N/A,TRUE,"1.";#N/A,#N/A,TRUE,"2.";#N/A,#N/A,TRUE,"3.";#N/A,#N/A,TRUE,"4-1";#N/A,#N/A,TRUE,"-2";#N/A,#N/A,TRUE,"-3";#N/A,#N/A,TRUE,"-4";#N/A,#N/A,TRUE,"5-1";#N/A,#N/A,TRUE,"5-2";#N/A,#N/A,TRUE,"6-1";#N/A,#N/A,TRUE,"6-2";#N/A,#N/A,TRUE,"7-1";#N/A,#N/A,TRUE,"7-2";#N/A,#N/A,TRUE,"8.";#N/A,#N/A,TRUE,"9."}</definedName>
    <definedName name="_a28" hidden="1">{#N/A,#N/A,TRUE,"목차";#N/A,#N/A,TRUE,"1.";#N/A,#N/A,TRUE,"2.";#N/A,#N/A,TRUE,"3.";#N/A,#N/A,TRUE,"4-1";#N/A,#N/A,TRUE,"-2";#N/A,#N/A,TRUE,"-3";#N/A,#N/A,TRUE,"-4";#N/A,#N/A,TRUE,"5-1";#N/A,#N/A,TRUE,"5-2";#N/A,#N/A,TRUE,"6-1";#N/A,#N/A,TRUE,"6-2";#N/A,#N/A,TRUE,"7-1";#N/A,#N/A,TRUE,"7-2";#N/A,#N/A,TRUE,"8.";#N/A,#N/A,TRUE,"9."}</definedName>
    <definedName name="_a29" hidden="1">{#N/A,#N/A,TRUE,"목차";#N/A,#N/A,TRUE,"1.";#N/A,#N/A,TRUE,"2.";#N/A,#N/A,TRUE,"3.";#N/A,#N/A,TRUE,"4-1";#N/A,#N/A,TRUE,"-2";#N/A,#N/A,TRUE,"-3";#N/A,#N/A,TRUE,"-4";#N/A,#N/A,TRUE,"5-1";#N/A,#N/A,TRUE,"5-2";#N/A,#N/A,TRUE,"6-1";#N/A,#N/A,TRUE,"6-2";#N/A,#N/A,TRUE,"7-1";#N/A,#N/A,TRUE,"7-2";#N/A,#N/A,TRUE,"8.";#N/A,#N/A,TRUE,"9."}</definedName>
    <definedName name="_a31" hidden="1">{#N/A,#N/A,TRUE,"목차";#N/A,#N/A,TRUE,"1.";#N/A,#N/A,TRUE,"2.";#N/A,#N/A,TRUE,"3.";#N/A,#N/A,TRUE,"4-1";#N/A,#N/A,TRUE,"-2";#N/A,#N/A,TRUE,"-3";#N/A,#N/A,TRUE,"-4";#N/A,#N/A,TRUE,"5-1";#N/A,#N/A,TRUE,"5-2";#N/A,#N/A,TRUE,"6-1";#N/A,#N/A,TRUE,"6-2";#N/A,#N/A,TRUE,"7-1";#N/A,#N/A,TRUE,"7-2";#N/A,#N/A,TRUE,"8.";#N/A,#N/A,TRUE,"9."}</definedName>
    <definedName name="_a32" hidden="1">{#N/A,#N/A,TRUE,"목차";#N/A,#N/A,TRUE,"1.";#N/A,#N/A,TRUE,"2.";#N/A,#N/A,TRUE,"3.";#N/A,#N/A,TRUE,"4-1";#N/A,#N/A,TRUE,"-2";#N/A,#N/A,TRUE,"-3";#N/A,#N/A,TRUE,"-4";#N/A,#N/A,TRUE,"5-1";#N/A,#N/A,TRUE,"5-2";#N/A,#N/A,TRUE,"6-1";#N/A,#N/A,TRUE,"6-2";#N/A,#N/A,TRUE,"7-1";#N/A,#N/A,TRUE,"7-2";#N/A,#N/A,TRUE,"8.";#N/A,#N/A,TRUE,"9."}</definedName>
    <definedName name="_a34" hidden="1">{#N/A,#N/A,TRUE,"목차";#N/A,#N/A,TRUE,"1.";#N/A,#N/A,TRUE,"2.";#N/A,#N/A,TRUE,"3.";#N/A,#N/A,TRUE,"4-1";#N/A,#N/A,TRUE,"-2";#N/A,#N/A,TRUE,"-3";#N/A,#N/A,TRUE,"-4";#N/A,#N/A,TRUE,"5-1";#N/A,#N/A,TRUE,"5-2";#N/A,#N/A,TRUE,"6-1";#N/A,#N/A,TRUE,"6-2";#N/A,#N/A,TRUE,"7-1";#N/A,#N/A,TRUE,"7-2";#N/A,#N/A,TRUE,"8.";#N/A,#N/A,TRUE,"9."}</definedName>
    <definedName name="_a36" hidden="1">{#N/A,#N/A,TRUE,"목차";#N/A,#N/A,TRUE,"1.";#N/A,#N/A,TRUE,"2.";#N/A,#N/A,TRUE,"3.";#N/A,#N/A,TRUE,"4-1";#N/A,#N/A,TRUE,"-2";#N/A,#N/A,TRUE,"-3";#N/A,#N/A,TRUE,"-4";#N/A,#N/A,TRUE,"5-1";#N/A,#N/A,TRUE,"5-2";#N/A,#N/A,TRUE,"6-1";#N/A,#N/A,TRUE,"6-2";#N/A,#N/A,TRUE,"7-1";#N/A,#N/A,TRUE,"7-2";#N/A,#N/A,TRUE,"8.";#N/A,#N/A,TRUE,"9."}</definedName>
    <definedName name="_a37" hidden="1">{#N/A,#N/A,TRUE,"목차";#N/A,#N/A,TRUE,"1.";#N/A,#N/A,TRUE,"2.";#N/A,#N/A,TRUE,"3.";#N/A,#N/A,TRUE,"4-1";#N/A,#N/A,TRUE,"-2";#N/A,#N/A,TRUE,"-3";#N/A,#N/A,TRUE,"-4";#N/A,#N/A,TRUE,"5-1";#N/A,#N/A,TRUE,"5-2";#N/A,#N/A,TRUE,"6-1";#N/A,#N/A,TRUE,"6-2";#N/A,#N/A,TRUE,"7-1";#N/A,#N/A,TRUE,"7-2";#N/A,#N/A,TRUE,"8.";#N/A,#N/A,TRUE,"9."}</definedName>
    <definedName name="_a38" hidden="1">{#N/A,#N/A,TRUE,"목차";#N/A,#N/A,TRUE,"1.";#N/A,#N/A,TRUE,"2.";#N/A,#N/A,TRUE,"3.";#N/A,#N/A,TRUE,"4-1";#N/A,#N/A,TRUE,"-2";#N/A,#N/A,TRUE,"-3";#N/A,#N/A,TRUE,"-4";#N/A,#N/A,TRUE,"5-1";#N/A,#N/A,TRUE,"5-2";#N/A,#N/A,TRUE,"6-1";#N/A,#N/A,TRUE,"6-2";#N/A,#N/A,TRUE,"7-1";#N/A,#N/A,TRUE,"7-2";#N/A,#N/A,TRUE,"8.";#N/A,#N/A,TRUE,"9."}</definedName>
    <definedName name="_a39" hidden="1">{#N/A,#N/A,TRUE,"목차";#N/A,#N/A,TRUE,"1.";#N/A,#N/A,TRUE,"2.";#N/A,#N/A,TRUE,"3.";#N/A,#N/A,TRUE,"4-1";#N/A,#N/A,TRUE,"-2";#N/A,#N/A,TRUE,"-3";#N/A,#N/A,TRUE,"-4";#N/A,#N/A,TRUE,"5-1";#N/A,#N/A,TRUE,"5-2";#N/A,#N/A,TRUE,"6-1";#N/A,#N/A,TRUE,"6-2";#N/A,#N/A,TRUE,"7-1";#N/A,#N/A,TRUE,"7-2";#N/A,#N/A,TRUE,"8.";#N/A,#N/A,TRUE,"9."}</definedName>
    <definedName name="_a40" hidden="1">{#N/A,#N/A,TRUE,"목차";#N/A,#N/A,TRUE,"1.";#N/A,#N/A,TRUE,"2.";#N/A,#N/A,TRUE,"3.";#N/A,#N/A,TRUE,"4-1";#N/A,#N/A,TRUE,"-2";#N/A,#N/A,TRUE,"-3";#N/A,#N/A,TRUE,"-4";#N/A,#N/A,TRUE,"5-1";#N/A,#N/A,TRUE,"5-2";#N/A,#N/A,TRUE,"6-1";#N/A,#N/A,TRUE,"6-2";#N/A,#N/A,TRUE,"7-1";#N/A,#N/A,TRUE,"7-2";#N/A,#N/A,TRUE,"8.";#N/A,#N/A,TRUE,"9."}</definedName>
    <definedName name="_a41" hidden="1">{#N/A,#N/A,TRUE,"목차";#N/A,#N/A,TRUE,"1.";#N/A,#N/A,TRUE,"2.";#N/A,#N/A,TRUE,"3.";#N/A,#N/A,TRUE,"4-1";#N/A,#N/A,TRUE,"-2";#N/A,#N/A,TRUE,"-3";#N/A,#N/A,TRUE,"-4";#N/A,#N/A,TRUE,"5-1";#N/A,#N/A,TRUE,"5-2";#N/A,#N/A,TRUE,"6-1";#N/A,#N/A,TRUE,"6-2";#N/A,#N/A,TRUE,"7-1";#N/A,#N/A,TRUE,"7-2";#N/A,#N/A,TRUE,"8.";#N/A,#N/A,TRUE,"9."}</definedName>
    <definedName name="_a42" hidden="1">{#N/A,#N/A,TRUE,"목차";#N/A,#N/A,TRUE,"1.";#N/A,#N/A,TRUE,"2.";#N/A,#N/A,TRUE,"3.";#N/A,#N/A,TRUE,"4-1";#N/A,#N/A,TRUE,"-2";#N/A,#N/A,TRUE,"-3";#N/A,#N/A,TRUE,"-4";#N/A,#N/A,TRUE,"5-1";#N/A,#N/A,TRUE,"5-2";#N/A,#N/A,TRUE,"6-1";#N/A,#N/A,TRUE,"6-2";#N/A,#N/A,TRUE,"7-1";#N/A,#N/A,TRUE,"7-2";#N/A,#N/A,TRUE,"8.";#N/A,#N/A,TRUE,"9."}</definedName>
    <definedName name="_a43" hidden="1">{#N/A,#N/A,TRUE,"목차";#N/A,#N/A,TRUE,"1.";#N/A,#N/A,TRUE,"2.";#N/A,#N/A,TRUE,"3.";#N/A,#N/A,TRUE,"4-1";#N/A,#N/A,TRUE,"-2";#N/A,#N/A,TRUE,"-3";#N/A,#N/A,TRUE,"-4";#N/A,#N/A,TRUE,"5-1";#N/A,#N/A,TRUE,"5-2";#N/A,#N/A,TRUE,"6-1";#N/A,#N/A,TRUE,"6-2";#N/A,#N/A,TRUE,"7-1";#N/A,#N/A,TRUE,"7-2";#N/A,#N/A,TRUE,"8.";#N/A,#N/A,TRUE,"9."}</definedName>
    <definedName name="_a45" hidden="1">{#N/A,#N/A,TRUE,"목차";#N/A,#N/A,TRUE,"1.";#N/A,#N/A,TRUE,"2.";#N/A,#N/A,TRUE,"3.";#N/A,#N/A,TRUE,"4-1";#N/A,#N/A,TRUE,"-2";#N/A,#N/A,TRUE,"-3";#N/A,#N/A,TRUE,"-4";#N/A,#N/A,TRUE,"5-1";#N/A,#N/A,TRUE,"5-2";#N/A,#N/A,TRUE,"6-1";#N/A,#N/A,TRUE,"6-2";#N/A,#N/A,TRUE,"7-1";#N/A,#N/A,TRUE,"7-2";#N/A,#N/A,TRUE,"8.";#N/A,#N/A,TRUE,"9."}</definedName>
    <definedName name="_a46" hidden="1">{#N/A,#N/A,TRUE,"목차";#N/A,#N/A,TRUE,"1.";#N/A,#N/A,TRUE,"2.";#N/A,#N/A,TRUE,"3.";#N/A,#N/A,TRUE,"4-1";#N/A,#N/A,TRUE,"-2";#N/A,#N/A,TRUE,"-3";#N/A,#N/A,TRUE,"-4";#N/A,#N/A,TRUE,"5-1";#N/A,#N/A,TRUE,"5-2";#N/A,#N/A,TRUE,"6-1";#N/A,#N/A,TRUE,"6-2";#N/A,#N/A,TRUE,"7-1";#N/A,#N/A,TRUE,"7-2";#N/A,#N/A,TRUE,"8.";#N/A,#N/A,TRUE,"9."}</definedName>
    <definedName name="_a5" hidden="1">{#N/A,#N/A,TRUE,"목차";#N/A,#N/A,TRUE,"1.";#N/A,#N/A,TRUE,"2.";#N/A,#N/A,TRUE,"3.";#N/A,#N/A,TRUE,"4-1";#N/A,#N/A,TRUE,"-2";#N/A,#N/A,TRUE,"-3";#N/A,#N/A,TRUE,"-4";#N/A,#N/A,TRUE,"5-1";#N/A,#N/A,TRUE,"5-2";#N/A,#N/A,TRUE,"6-1";#N/A,#N/A,TRUE,"6-2";#N/A,#N/A,TRUE,"7-1";#N/A,#N/A,TRUE,"7-2";#N/A,#N/A,TRUE,"8.";#N/A,#N/A,TRUE,"9."}</definedName>
    <definedName name="_a6" hidden="1">{#N/A,#N/A,TRUE,"목차";#N/A,#N/A,TRUE,"1.";#N/A,#N/A,TRUE,"2.";#N/A,#N/A,TRUE,"3.";#N/A,#N/A,TRUE,"4-1";#N/A,#N/A,TRUE,"-2";#N/A,#N/A,TRUE,"-3";#N/A,#N/A,TRUE,"-4";#N/A,#N/A,TRUE,"5-1";#N/A,#N/A,TRUE,"5-2";#N/A,#N/A,TRUE,"6-1";#N/A,#N/A,TRUE,"6-2";#N/A,#N/A,TRUE,"7-1";#N/A,#N/A,TRUE,"7-2";#N/A,#N/A,TRUE,"8.";#N/A,#N/A,TRUE,"9."}</definedName>
    <definedName name="_a7" hidden="1">{#N/A,#N/A,TRUE,"목차";#N/A,#N/A,TRUE,"1.";#N/A,#N/A,TRUE,"2.";#N/A,#N/A,TRUE,"3.";#N/A,#N/A,TRUE,"4-1";#N/A,#N/A,TRUE,"-2";#N/A,#N/A,TRUE,"-3";#N/A,#N/A,TRUE,"-4";#N/A,#N/A,TRUE,"5-1";#N/A,#N/A,TRUE,"5-2";#N/A,#N/A,TRUE,"6-1";#N/A,#N/A,TRUE,"6-2";#N/A,#N/A,TRUE,"7-1";#N/A,#N/A,TRUE,"7-2";#N/A,#N/A,TRUE,"8.";#N/A,#N/A,TRUE,"9."}</definedName>
    <definedName name="_a8" hidden="1">{#N/A,#N/A,TRUE,"목차";#N/A,#N/A,TRUE,"1.";#N/A,#N/A,TRUE,"2.";#N/A,#N/A,TRUE,"3.";#N/A,#N/A,TRUE,"4-1";#N/A,#N/A,TRUE,"-2";#N/A,#N/A,TRUE,"-3";#N/A,#N/A,TRUE,"-4";#N/A,#N/A,TRUE,"5-1";#N/A,#N/A,TRUE,"5-2";#N/A,#N/A,TRUE,"6-1";#N/A,#N/A,TRUE,"6-2";#N/A,#N/A,TRUE,"7-1";#N/A,#N/A,TRUE,"7-2";#N/A,#N/A,TRUE,"8.";#N/A,#N/A,TRUE,"9."}</definedName>
    <definedName name="_a9" hidden="1">{#N/A,#N/A,TRUE,"목차";#N/A,#N/A,TRUE,"1.";#N/A,#N/A,TRUE,"2.";#N/A,#N/A,TRUE,"3.";#N/A,#N/A,TRUE,"4-1";#N/A,#N/A,TRUE,"-2";#N/A,#N/A,TRUE,"-3";#N/A,#N/A,TRUE,"-4";#N/A,#N/A,TRUE,"5-1";#N/A,#N/A,TRUE,"5-2";#N/A,#N/A,TRUE,"6-1";#N/A,#N/A,TRUE,"6-2";#N/A,#N/A,TRUE,"7-1";#N/A,#N/A,TRUE,"7-2";#N/A,#N/A,TRUE,"8.";#N/A,#N/A,TRUE,"9."}</definedName>
    <definedName name="_AA46" hidden="1">{#N/A,#N/A,TRUE,"LOADCOVE";#N/A,#N/A,TRUE,"PAGE001";#N/A,#N/A,TRUE,"PAGE002";#N/A,#N/A,TRUE,"PAGE003";#N/A,#N/A,TRUE,"PAGE004";#N/A,#N/A,TRUE,"PAGE005";#N/A,#N/A,TRUE,"PAGE006";#N/A,#N/A,TRUE,"PAGE007";#N/A,#N/A,TRUE,"PAGE008";#N/A,#N/A,TRUE,"PAGE009";#N/A,#N/A,TRUE,"PAGE010";#N/A,#N/A,TRUE,"PAGE011";#N/A,#N/A,TRUE,"PAGE012";#N/A,#N/A,TRUE,"PAGE013"}</definedName>
    <definedName name="_AAA1" hidden="1">{#N/A,#N/A,TRUE,"목차";#N/A,#N/A,TRUE,"1.";#N/A,#N/A,TRUE,"2.";#N/A,#N/A,TRUE,"3.";#N/A,#N/A,TRUE,"4-1";#N/A,#N/A,TRUE,"-2";#N/A,#N/A,TRUE,"-3";#N/A,#N/A,TRUE,"-4";#N/A,#N/A,TRUE,"5-1";#N/A,#N/A,TRUE,"5-2";#N/A,#N/A,TRUE,"6-1";#N/A,#N/A,TRUE,"6-2";#N/A,#N/A,TRUE,"7-1";#N/A,#N/A,TRUE,"7-2";#N/A,#N/A,TRUE,"8.";#N/A,#N/A,TRUE,"9."}</definedName>
    <definedName name="_AAA2" hidden="1">{#N/A,#N/A,TRUE,"목차";#N/A,#N/A,TRUE,"1.";#N/A,#N/A,TRUE,"2.";#N/A,#N/A,TRUE,"3.";#N/A,#N/A,TRUE,"4-1";#N/A,#N/A,TRUE,"-2";#N/A,#N/A,TRUE,"-3";#N/A,#N/A,TRUE,"-4";#N/A,#N/A,TRUE,"5-1";#N/A,#N/A,TRUE,"5-2";#N/A,#N/A,TRUE,"6-1";#N/A,#N/A,TRUE,"6-2";#N/A,#N/A,TRUE,"7-1";#N/A,#N/A,TRUE,"7-2";#N/A,#N/A,TRUE,"8.";#N/A,#N/A,TRUE,"9."}</definedName>
    <definedName name="_AK45" hidden="1">{#N/A,#N/A,TRUE,"LOADCOVE";#N/A,#N/A,TRUE,"PAGE001";#N/A,#N/A,TRUE,"PAGE002";#N/A,#N/A,TRUE,"PAGE003";#N/A,#N/A,TRUE,"PAGE004";#N/A,#N/A,TRUE,"PAGE005";#N/A,#N/A,TRUE,"PAGE006";#N/A,#N/A,TRUE,"PAGE007";#N/A,#N/A,TRUE,"PAGE008";#N/A,#N/A,TRUE,"PAGE009";#N/A,#N/A,TRUE,"PAGE010";#N/A,#N/A,TRUE,"PAGE011";#N/A,#N/A,TRUE,"PAGE012";#N/A,#N/A,TRUE,"PAGE013"}</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ddt1" hidden="1">{#N/A,#N/A,TRUE,"목차";#N/A,#N/A,TRUE,"1.";#N/A,#N/A,TRUE,"2.";#N/A,#N/A,TRUE,"3.";#N/A,#N/A,TRUE,"4-1";#N/A,#N/A,TRUE,"-2";#N/A,#N/A,TRUE,"-3";#N/A,#N/A,TRUE,"-4";#N/A,#N/A,TRUE,"5-1";#N/A,#N/A,TRUE,"5-2";#N/A,#N/A,TRUE,"6-1";#N/A,#N/A,TRUE,"6-2";#N/A,#N/A,TRUE,"7-1";#N/A,#N/A,TRUE,"7-2";#N/A,#N/A,TRUE,"8.";#N/A,#N/A,TRUE,"9."}</definedName>
    <definedName name="_dt1" hidden="1">{#N/A,#N/A,TRUE,"목차";#N/A,#N/A,TRUE,"1.";#N/A,#N/A,TRUE,"2.";#N/A,#N/A,TRUE,"3.";#N/A,#N/A,TRUE,"4-1";#N/A,#N/A,TRUE,"-2";#N/A,#N/A,TRUE,"-3";#N/A,#N/A,TRUE,"-4";#N/A,#N/A,TRUE,"5-1";#N/A,#N/A,TRUE,"5-2";#N/A,#N/A,TRUE,"6-1";#N/A,#N/A,TRUE,"6-2";#N/A,#N/A,TRUE,"7-1";#N/A,#N/A,TRUE,"7-2";#N/A,#N/A,TRUE,"8.";#N/A,#N/A,TRUE,"9."}</definedName>
    <definedName name="_el55" hidden="1">{#N/A,#N/A,TRUE,"목차";#N/A,#N/A,TRUE,"1.";#N/A,#N/A,TRUE,"2.";#N/A,#N/A,TRUE,"3.";#N/A,#N/A,TRUE,"4-1";#N/A,#N/A,TRUE,"-2";#N/A,#N/A,TRUE,"-3";#N/A,#N/A,TRUE,"-4";#N/A,#N/A,TRUE,"5-1";#N/A,#N/A,TRUE,"5-2";#N/A,#N/A,TRUE,"6-1";#N/A,#N/A,TRUE,"6-2";#N/A,#N/A,TRUE,"7-1";#N/A,#N/A,TRUE,"7-2";#N/A,#N/A,TRUE,"8.";#N/A,#N/A,TRUE,"9."}</definedName>
    <definedName name="_el68" hidden="1">{#N/A,#N/A,TRUE,"목차";#N/A,#N/A,TRUE,"1.";#N/A,#N/A,TRUE,"2.";#N/A,#N/A,TRUE,"3.";#N/A,#N/A,TRUE,"4-1";#N/A,#N/A,TRUE,"-2";#N/A,#N/A,TRUE,"-3";#N/A,#N/A,TRUE,"-4";#N/A,#N/A,TRUE,"5-1";#N/A,#N/A,TRUE,"5-2";#N/A,#N/A,TRUE,"6-1";#N/A,#N/A,TRUE,"6-2";#N/A,#N/A,TRUE,"7-1";#N/A,#N/A,TRUE,"7-2";#N/A,#N/A,TRUE,"8.";#N/A,#N/A,TRUE,"9."}</definedName>
    <definedName name="_ffg12" hidden="1">{#N/A,#N/A,TRUE,"목차";#N/A,#N/A,TRUE,"1.";#N/A,#N/A,TRUE,"2.";#N/A,#N/A,TRUE,"3.";#N/A,#N/A,TRUE,"4-1";#N/A,#N/A,TRUE,"-2";#N/A,#N/A,TRUE,"-3";#N/A,#N/A,TRUE,"-4";#N/A,#N/A,TRUE,"5-1";#N/A,#N/A,TRUE,"5-2";#N/A,#N/A,TRUE,"6-1";#N/A,#N/A,TRUE,"6-2";#N/A,#N/A,TRUE,"7-1";#N/A,#N/A,TRUE,"7-2";#N/A,#N/A,TRUE,"8.";#N/A,#N/A,TRUE,"9."}</definedName>
    <definedName name="_Fill" hidden="1">#REF!</definedName>
    <definedName name="_xlnm._FilterDatabase" localSheetId="4" hidden="1">'Defect List'!$A$1:$L$161</definedName>
    <definedName name="_xlnm._FilterDatabase" localSheetId="2" hidden="1">'Job Planning'!$A$3:$W$137</definedName>
    <definedName name="_xlnm._FilterDatabase" localSheetId="6" hidden="1">Search!#REF!</definedName>
    <definedName name="_xlnm._FilterDatabase" localSheetId="1" hidden="1">'Summary Closure Overview'!$C$13:$K$18</definedName>
    <definedName name="_xlnm._FilterDatabase" hidden="1">#REF!</definedName>
    <definedName name="_hhh1" hidden="1">{#N/A,#N/A,TRUE,"LOADCOVE";#N/A,#N/A,TRUE,"PAGE001";#N/A,#N/A,TRUE,"PAGE002";#N/A,#N/A,TRUE,"PAGE003";#N/A,#N/A,TRUE,"PAGE004";#N/A,#N/A,TRUE,"PAGE005";#N/A,#N/A,TRUE,"PAGE006";#N/A,#N/A,TRUE,"PAGE007";#N/A,#N/A,TRUE,"PAGE008";#N/A,#N/A,TRUE,"PAGE009";#N/A,#N/A,TRUE,"PAGE010";#N/A,#N/A,TRUE,"PAGE011";#N/A,#N/A,TRUE,"PAGE012";#N/A,#N/A,TRUE,"PAGE013"}</definedName>
    <definedName name="_jk2" hidden="1">{#N/A,#N/A,FALSE,"부서종합";#N/A,#N/A,FALSE,"DISC종합";#N/A,#N/A,FALSE,"생산1과";#N/A,#N/A,FALSE,"생산2과";#N/A,#N/A,FALSE,"전기계장";#N/A,#N/A,FALSE,"기계";#N/A,#N/A,FALSE,"철의장";#N/A,#N/A,FALSE,"거주구";#N/A,#N/A,FALSE,"HVAC"}</definedName>
    <definedName name="_jk4" hidden="1">{#N/A,#N/A,FALSE,"부서종합";#N/A,#N/A,FALSE,"DISC종합";#N/A,#N/A,FALSE,"생산1과";#N/A,#N/A,FALSE,"생산2과";#N/A,#N/A,FALSE,"전기계장";#N/A,#N/A,FALSE,"기계";#N/A,#N/A,FALSE,"철의장";#N/A,#N/A,FALSE,"거주구";#N/A,#N/A,FALSE,"HVAC"}</definedName>
    <definedName name="_K41" hidden="1">{#N/A,#N/A,TRUE,"LOADCOVE";#N/A,#N/A,TRUE,"PAGE001";#N/A,#N/A,TRUE,"PAGE002";#N/A,#N/A,TRUE,"PAGE003";#N/A,#N/A,TRUE,"PAGE004";#N/A,#N/A,TRUE,"PAGE005";#N/A,#N/A,TRUE,"PAGE006";#N/A,#N/A,TRUE,"PAGE007";#N/A,#N/A,TRUE,"PAGE008";#N/A,#N/A,TRUE,"PAGE009";#N/A,#N/A,TRUE,"PAGE010";#N/A,#N/A,TRUE,"PAGE011";#N/A,#N/A,TRUE,"PAGE012";#N/A,#N/A,TRUE,"PAGE013"}</definedName>
    <definedName name="_K42" hidden="1">{#N/A,#N/A,TRUE,"LOADCOVE";#N/A,#N/A,TRUE,"PAGE001";#N/A,#N/A,TRUE,"PAGE002";#N/A,#N/A,TRUE,"PAGE003";#N/A,#N/A,TRUE,"PAGE004";#N/A,#N/A,TRUE,"PAGE005";#N/A,#N/A,TRUE,"PAGE006";#N/A,#N/A,TRUE,"PAGE007";#N/A,#N/A,TRUE,"PAGE008";#N/A,#N/A,TRUE,"PAGE009";#N/A,#N/A,TRUE,"PAGE010";#N/A,#N/A,TRUE,"PAGE011";#N/A,#N/A,TRUE,"PAGE012";#N/A,#N/A,TRUE,"PAGE013"}</definedName>
    <definedName name="_K420" hidden="1">{#N/A,#N/A,TRUE,"LOADCOVE";#N/A,#N/A,TRUE,"PAGE001";#N/A,#N/A,TRUE,"PAGE002";#N/A,#N/A,TRUE,"PAGE003";#N/A,#N/A,TRUE,"PAGE004";#N/A,#N/A,TRUE,"PAGE005";#N/A,#N/A,TRUE,"PAGE006";#N/A,#N/A,TRUE,"PAGE007";#N/A,#N/A,TRUE,"PAGE008";#N/A,#N/A,TRUE,"PAGE009";#N/A,#N/A,TRUE,"PAGE010";#N/A,#N/A,TRUE,"PAGE011";#N/A,#N/A,TRUE,"PAGE012";#N/A,#N/A,TRUE,"PAGE013"}</definedName>
    <definedName name="_K430" hidden="1">{#N/A,#N/A,TRUE,"LOADCOVE";#N/A,#N/A,TRUE,"PAGE001";#N/A,#N/A,TRUE,"PAGE002";#N/A,#N/A,TRUE,"PAGE003";#N/A,#N/A,TRUE,"PAGE004";#N/A,#N/A,TRUE,"PAGE005";#N/A,#N/A,TRUE,"PAGE006";#N/A,#N/A,TRUE,"PAGE007";#N/A,#N/A,TRUE,"PAGE008";#N/A,#N/A,TRUE,"PAGE009";#N/A,#N/A,TRUE,"PAGE010";#N/A,#N/A,TRUE,"PAGE011";#N/A,#N/A,TRUE,"PAGE012";#N/A,#N/A,TRUE,"PAGE013"}</definedName>
    <definedName name="_K44" hidden="1">{#N/A,#N/A,TRUE,"LOADCOVE";#N/A,#N/A,TRUE,"PAGE001";#N/A,#N/A,TRUE,"PAGE002";#N/A,#N/A,TRUE,"PAGE003";#N/A,#N/A,TRUE,"PAGE004";#N/A,#N/A,TRUE,"PAGE005";#N/A,#N/A,TRUE,"PAGE006";#N/A,#N/A,TRUE,"PAGE007";#N/A,#N/A,TRUE,"PAGE008";#N/A,#N/A,TRUE,"PAGE009";#N/A,#N/A,TRUE,"PAGE010";#N/A,#N/A,TRUE,"PAGE011";#N/A,#N/A,TRUE,"PAGE012";#N/A,#N/A,TRUE,"PAGE013"}</definedName>
    <definedName name="_K440" hidden="1">{#N/A,#N/A,TRUE,"LOADCOVE";#N/A,#N/A,TRUE,"PAGE001";#N/A,#N/A,TRUE,"PAGE002";#N/A,#N/A,TRUE,"PAGE003";#N/A,#N/A,TRUE,"PAGE004";#N/A,#N/A,TRUE,"PAGE005";#N/A,#N/A,TRUE,"PAGE006";#N/A,#N/A,TRUE,"PAGE007";#N/A,#N/A,TRUE,"PAGE008";#N/A,#N/A,TRUE,"PAGE009";#N/A,#N/A,TRUE,"PAGE010";#N/A,#N/A,TRUE,"PAGE011";#N/A,#N/A,TRUE,"PAGE012";#N/A,#N/A,TRUE,"PAGE013"}</definedName>
    <definedName name="_K4400" hidden="1">{#N/A,#N/A,TRUE,"LOADCOVE";#N/A,#N/A,TRUE,"PAGE001";#N/A,#N/A,TRUE,"PAGE002";#N/A,#N/A,TRUE,"PAGE003";#N/A,#N/A,TRUE,"PAGE004";#N/A,#N/A,TRUE,"PAGE005";#N/A,#N/A,TRUE,"PAGE006";#N/A,#N/A,TRUE,"PAGE007";#N/A,#N/A,TRUE,"PAGE008";#N/A,#N/A,TRUE,"PAGE009";#N/A,#N/A,TRUE,"PAGE010";#N/A,#N/A,TRUE,"PAGE011";#N/A,#N/A,TRUE,"PAGE012";#N/A,#N/A,TRUE,"PAGE013"}</definedName>
    <definedName name="_K44000" hidden="1">{#N/A,#N/A,TRUE,"LOADCOVE";#N/A,#N/A,TRUE,"PAGE001";#N/A,#N/A,TRUE,"PAGE002";#N/A,#N/A,TRUE,"PAGE003";#N/A,#N/A,TRUE,"PAGE004";#N/A,#N/A,TRUE,"PAGE005";#N/A,#N/A,TRUE,"PAGE006";#N/A,#N/A,TRUE,"PAGE007";#N/A,#N/A,TRUE,"PAGE008";#N/A,#N/A,TRUE,"PAGE009";#N/A,#N/A,TRUE,"PAGE010";#N/A,#N/A,TRUE,"PAGE011";#N/A,#N/A,TRUE,"PAGE012";#N/A,#N/A,TRUE,"PAGE013"}</definedName>
    <definedName name="_K44444" hidden="1">{#N/A,#N/A,TRUE,"LOADCOVE";#N/A,#N/A,TRUE,"PAGE001";#N/A,#N/A,TRUE,"PAGE002";#N/A,#N/A,TRUE,"PAGE003";#N/A,#N/A,TRUE,"PAGE004";#N/A,#N/A,TRUE,"PAGE005";#N/A,#N/A,TRUE,"PAGE006";#N/A,#N/A,TRUE,"PAGE007";#N/A,#N/A,TRUE,"PAGE008";#N/A,#N/A,TRUE,"PAGE009";#N/A,#N/A,TRUE,"PAGE010";#N/A,#N/A,TRUE,"PAGE011";#N/A,#N/A,TRUE,"PAGE012";#N/A,#N/A,TRUE,"PAGE013"}</definedName>
    <definedName name="_K45" hidden="1">{#N/A,#N/A,TRUE,"LOADCOVE";#N/A,#N/A,TRUE,"PAGE001";#N/A,#N/A,TRUE,"PAGE002";#N/A,#N/A,TRUE,"PAGE003";#N/A,#N/A,TRUE,"PAGE004";#N/A,#N/A,TRUE,"PAGE005";#N/A,#N/A,TRUE,"PAGE006";#N/A,#N/A,TRUE,"PAGE007";#N/A,#N/A,TRUE,"PAGE008";#N/A,#N/A,TRUE,"PAGE009";#N/A,#N/A,TRUE,"PAGE010";#N/A,#N/A,TRUE,"PAGE011";#N/A,#N/A,TRUE,"PAGE012";#N/A,#N/A,TRUE,"PAGE013"}</definedName>
    <definedName name="_K46" hidden="1">{#N/A,#N/A,TRUE,"LOADCOVE";#N/A,#N/A,TRUE,"PAGE001";#N/A,#N/A,TRUE,"PAGE002";#N/A,#N/A,TRUE,"PAGE003";#N/A,#N/A,TRUE,"PAGE004";#N/A,#N/A,TRUE,"PAGE005";#N/A,#N/A,TRUE,"PAGE006";#N/A,#N/A,TRUE,"PAGE007";#N/A,#N/A,TRUE,"PAGE008";#N/A,#N/A,TRUE,"PAGE009";#N/A,#N/A,TRUE,"PAGE010";#N/A,#N/A,TRUE,"PAGE011";#N/A,#N/A,TRUE,"PAGE012";#N/A,#N/A,TRUE,"PAGE013"}</definedName>
    <definedName name="_K47" hidden="1">{#N/A,#N/A,TRUE,"LOADCOVE";#N/A,#N/A,TRUE,"PAGE001";#N/A,#N/A,TRUE,"PAGE002";#N/A,#N/A,TRUE,"PAGE003";#N/A,#N/A,TRUE,"PAGE004";#N/A,#N/A,TRUE,"PAGE005";#N/A,#N/A,TRUE,"PAGE006";#N/A,#N/A,TRUE,"PAGE007";#N/A,#N/A,TRUE,"PAGE008";#N/A,#N/A,TRUE,"PAGE009";#N/A,#N/A,TRUE,"PAGE010";#N/A,#N/A,TRUE,"PAGE011";#N/A,#N/A,TRUE,"PAGE012";#N/A,#N/A,TRUE,"PAGE013"}</definedName>
    <definedName name="_K48" hidden="1">{#N/A,#N/A,TRUE,"LOADCOVE";#N/A,#N/A,TRUE,"PAGE001";#N/A,#N/A,TRUE,"PAGE002";#N/A,#N/A,TRUE,"PAGE003";#N/A,#N/A,TRUE,"PAGE004";#N/A,#N/A,TRUE,"PAGE005";#N/A,#N/A,TRUE,"PAGE006";#N/A,#N/A,TRUE,"PAGE007";#N/A,#N/A,TRUE,"PAGE008";#N/A,#N/A,TRUE,"PAGE009";#N/A,#N/A,TRUE,"PAGE010";#N/A,#N/A,TRUE,"PAGE011";#N/A,#N/A,TRUE,"PAGE012";#N/A,#N/A,TRUE,"PAGE013"}</definedName>
    <definedName name="_K4800" hidden="1">{#N/A,#N/A,TRUE,"LOADCOVE";#N/A,#N/A,TRUE,"PAGE001";#N/A,#N/A,TRUE,"PAGE002";#N/A,#N/A,TRUE,"PAGE003";#N/A,#N/A,TRUE,"PAGE004";#N/A,#N/A,TRUE,"PAGE005";#N/A,#N/A,TRUE,"PAGE006";#N/A,#N/A,TRUE,"PAGE007";#N/A,#N/A,TRUE,"PAGE008";#N/A,#N/A,TRUE,"PAGE009";#N/A,#N/A,TRUE,"PAGE010";#N/A,#N/A,TRUE,"PAGE011";#N/A,#N/A,TRUE,"PAGE012";#N/A,#N/A,TRUE,"PAGE013"}</definedName>
    <definedName name="_K48008" hidden="1">{#N/A,#N/A,TRUE,"LOADCOVE";#N/A,#N/A,TRUE,"PAGE001";#N/A,#N/A,TRUE,"PAGE002";#N/A,#N/A,TRUE,"PAGE003";#N/A,#N/A,TRUE,"PAGE004";#N/A,#N/A,TRUE,"PAGE005";#N/A,#N/A,TRUE,"PAGE006";#N/A,#N/A,TRUE,"PAGE007";#N/A,#N/A,TRUE,"PAGE008";#N/A,#N/A,TRUE,"PAGE009";#N/A,#N/A,TRUE,"PAGE010";#N/A,#N/A,TRUE,"PAGE011";#N/A,#N/A,TRUE,"PAGE012";#N/A,#N/A,TRUE,"PAGE013"}</definedName>
    <definedName name="_K488" hidden="1">{#N/A,#N/A,TRUE,"LOADCOVE";#N/A,#N/A,TRUE,"PAGE001";#N/A,#N/A,TRUE,"PAGE002";#N/A,#N/A,TRUE,"PAGE003";#N/A,#N/A,TRUE,"PAGE004";#N/A,#N/A,TRUE,"PAGE005";#N/A,#N/A,TRUE,"PAGE006";#N/A,#N/A,TRUE,"PAGE007";#N/A,#N/A,TRUE,"PAGE008";#N/A,#N/A,TRUE,"PAGE009";#N/A,#N/A,TRUE,"PAGE010";#N/A,#N/A,TRUE,"PAGE011";#N/A,#N/A,TRUE,"PAGE012";#N/A,#N/A,TRUE,"PAGE013"}</definedName>
    <definedName name="_K4888" hidden="1">{#N/A,#N/A,TRUE,"LOADCOVE";#N/A,#N/A,TRUE,"PAGE001";#N/A,#N/A,TRUE,"PAGE002";#N/A,#N/A,TRUE,"PAGE003";#N/A,#N/A,TRUE,"PAGE004";#N/A,#N/A,TRUE,"PAGE005";#N/A,#N/A,TRUE,"PAGE006";#N/A,#N/A,TRUE,"PAGE007";#N/A,#N/A,TRUE,"PAGE008";#N/A,#N/A,TRUE,"PAGE009";#N/A,#N/A,TRUE,"PAGE010";#N/A,#N/A,TRUE,"PAGE011";#N/A,#N/A,TRUE,"PAGE012";#N/A,#N/A,TRUE,"PAGE013"}</definedName>
    <definedName name="_Key1" hidden="1">#REF!</definedName>
    <definedName name="_Key2" hidden="1">#REF!</definedName>
    <definedName name="_L8" hidden="1">{#N/A,#N/A,TRUE,"목차";#N/A,#N/A,TRUE,"1.";#N/A,#N/A,TRUE,"2.";#N/A,#N/A,TRUE,"3.";#N/A,#N/A,TRUE,"4-1";#N/A,#N/A,TRUE,"-2";#N/A,#N/A,TRUE,"-3";#N/A,#N/A,TRUE,"-4";#N/A,#N/A,TRUE,"5-1";#N/A,#N/A,TRUE,"5-2";#N/A,#N/A,TRUE,"6-1";#N/A,#N/A,TRUE,"6-2";#N/A,#N/A,TRUE,"7-1";#N/A,#N/A,TRUE,"7-2";#N/A,#N/A,TRUE,"8.";#N/A,#N/A,TRUE,"9."}</definedName>
    <definedName name="_LOT2" hidden="1">{#N/A,#N/A,TRUE,"목차";#N/A,#N/A,TRUE,"1.";#N/A,#N/A,TRUE,"2.";#N/A,#N/A,TRUE,"3.";#N/A,#N/A,TRUE,"4-1";#N/A,#N/A,TRUE,"-2";#N/A,#N/A,TRUE,"-3";#N/A,#N/A,TRUE,"-4";#N/A,#N/A,TRUE,"5-1";#N/A,#N/A,TRUE,"5-2";#N/A,#N/A,TRUE,"6-1";#N/A,#N/A,TRUE,"6-2";#N/A,#N/A,TRUE,"7-1";#N/A,#N/A,TRUE,"7-2";#N/A,#N/A,TRUE,"8.";#N/A,#N/A,TRUE,"9."}</definedName>
    <definedName name="_MAP12" hidden="1">{#N/A,#N/A,TRUE,"LOADCOVE";#N/A,#N/A,TRUE,"PAGE001";#N/A,#N/A,TRUE,"PAGE002";#N/A,#N/A,TRUE,"PAGE003";#N/A,#N/A,TRUE,"PAGE004";#N/A,#N/A,TRUE,"PAGE005";#N/A,#N/A,TRUE,"PAGE006";#N/A,#N/A,TRUE,"PAGE007";#N/A,#N/A,TRUE,"PAGE008";#N/A,#N/A,TRUE,"PAGE009";#N/A,#N/A,TRUE,"PAGE010";#N/A,#N/A,TRUE,"PAGE011";#N/A,#N/A,TRUE,"PAGE012";#N/A,#N/A,TRUE,"PAGE013"}</definedName>
    <definedName name="_ORT3" hidden="1">{#N/A,#N/A,TRUE,"목차";#N/A,#N/A,TRUE,"1.";#N/A,#N/A,TRUE,"2.";#N/A,#N/A,TRUE,"3.";#N/A,#N/A,TRUE,"4-1";#N/A,#N/A,TRUE,"-2";#N/A,#N/A,TRUE,"-3";#N/A,#N/A,TRUE,"-4";#N/A,#N/A,TRUE,"5-1";#N/A,#N/A,TRUE,"5-2";#N/A,#N/A,TRUE,"6-1";#N/A,#N/A,TRUE,"6-2";#N/A,#N/A,TRUE,"7-1";#N/A,#N/A,TRUE,"7-2";#N/A,#N/A,TRUE,"8.";#N/A,#N/A,TRUE,"9."}</definedName>
    <definedName name="_out2" hidden="1">{#N/A,#N/A,TRUE,"목차";#N/A,#N/A,TRUE,"1.";#N/A,#N/A,TRUE,"2.";#N/A,#N/A,TRUE,"3.";#N/A,#N/A,TRUE,"4-1";#N/A,#N/A,TRUE,"-2";#N/A,#N/A,TRUE,"-3";#N/A,#N/A,TRUE,"-4";#N/A,#N/A,TRUE,"5-1";#N/A,#N/A,TRUE,"5-2";#N/A,#N/A,TRUE,"6-1";#N/A,#N/A,TRUE,"6-2";#N/A,#N/A,TRUE,"7-1";#N/A,#N/A,TRUE,"7-2";#N/A,#N/A,TRUE,"8.";#N/A,#N/A,TRUE,"9."}</definedName>
    <definedName name="_OUT3" hidden="1">{#N/A,#N/A,TRUE,"목차";#N/A,#N/A,TRUE,"1.";#N/A,#N/A,TRUE,"2.";#N/A,#N/A,TRUE,"3.";#N/A,#N/A,TRUE,"4-1";#N/A,#N/A,TRUE,"-2";#N/A,#N/A,TRUE,"-3";#N/A,#N/A,TRUE,"-4";#N/A,#N/A,TRUE,"5-1";#N/A,#N/A,TRUE,"5-2";#N/A,#N/A,TRUE,"6-1";#N/A,#N/A,TRUE,"6-2";#N/A,#N/A,TRUE,"7-1";#N/A,#N/A,TRUE,"7-2";#N/A,#N/A,TRUE,"8.";#N/A,#N/A,TRUE,"9."}</definedName>
    <definedName name="_OUT929" hidden="1">{#N/A,#N/A,TRUE,"목차";#N/A,#N/A,TRUE,"1.";#N/A,#N/A,TRUE,"2.";#N/A,#N/A,TRUE,"3.";#N/A,#N/A,TRUE,"4-1";#N/A,#N/A,TRUE,"-2";#N/A,#N/A,TRUE,"-3";#N/A,#N/A,TRUE,"-4";#N/A,#N/A,TRUE,"5-1";#N/A,#N/A,TRUE,"5-2";#N/A,#N/A,TRUE,"6-1";#N/A,#N/A,TRUE,"6-2";#N/A,#N/A,TRUE,"7-1";#N/A,#N/A,TRUE,"7-2";#N/A,#N/A,TRUE,"8.";#N/A,#N/A,TRUE,"9."}</definedName>
    <definedName name="_Parse_Out" hidden="1">#REF!</definedName>
    <definedName name="_PC2" hidden="1">{#N/A,#N/A,TRUE,"목차";#N/A,#N/A,TRUE,"1.";#N/A,#N/A,TRUE,"2.";#N/A,#N/A,TRUE,"3.";#N/A,#N/A,TRUE,"4-1";#N/A,#N/A,TRUE,"-2";#N/A,#N/A,TRUE,"-3";#N/A,#N/A,TRUE,"-4";#N/A,#N/A,TRUE,"5-1";#N/A,#N/A,TRUE,"5-2";#N/A,#N/A,TRUE,"6-1";#N/A,#N/A,TRUE,"6-2";#N/A,#N/A,TRUE,"7-1";#N/A,#N/A,TRUE,"7-2";#N/A,#N/A,TRUE,"8.";#N/A,#N/A,TRUE,"9."}</definedName>
    <definedName name="_pe2" hidden="1">{#N/A,#N/A,TRUE,"목차";#N/A,#N/A,TRUE,"1.";#N/A,#N/A,TRUE,"2.";#N/A,#N/A,TRUE,"3.";#N/A,#N/A,TRUE,"4-1";#N/A,#N/A,TRUE,"-2";#N/A,#N/A,TRUE,"-3";#N/A,#N/A,TRUE,"-4";#N/A,#N/A,TRUE,"5-1";#N/A,#N/A,TRUE,"5-2";#N/A,#N/A,TRUE,"6-1";#N/A,#N/A,TRUE,"6-2";#N/A,#N/A,TRUE,"7-1";#N/A,#N/A,TRUE,"7-2";#N/A,#N/A,TRUE,"8.";#N/A,#N/A,TRUE,"9."}</definedName>
    <definedName name="_q45" hidden="1">{"'용역비'!$A$4:$C$8"}</definedName>
    <definedName name="_QQ1" hidden="1">{#N/A,#N/A,TRUE,"목차";#N/A,#N/A,TRUE,"1.";#N/A,#N/A,TRUE,"2.";#N/A,#N/A,TRUE,"3.";#N/A,#N/A,TRUE,"4-1";#N/A,#N/A,TRUE,"-2";#N/A,#N/A,TRUE,"-3";#N/A,#N/A,TRUE,"-4";#N/A,#N/A,TRUE,"5-1";#N/A,#N/A,TRUE,"5-2";#N/A,#N/A,TRUE,"6-1";#N/A,#N/A,TRUE,"6-2";#N/A,#N/A,TRUE,"7-1";#N/A,#N/A,TRUE,"7-2";#N/A,#N/A,TRUE,"8.";#N/A,#N/A,TRUE,"9."}</definedName>
    <definedName name="_Regression_Int" hidden="1">1</definedName>
    <definedName name="_Regression_Out" hidden="1">#REF!</definedName>
    <definedName name="_Regression_X" hidden="1">#REF!</definedName>
    <definedName name="_Regression_Y" hidden="1">#REF!</definedName>
    <definedName name="_sh1" hidden="1">{#N/A,#N/A,TRUE,"목차";#N/A,#N/A,TRUE,"1.";#N/A,#N/A,TRUE,"2.";#N/A,#N/A,TRUE,"3.";#N/A,#N/A,TRUE,"4-1";#N/A,#N/A,TRUE,"-2";#N/A,#N/A,TRUE,"-3";#N/A,#N/A,TRUE,"-4";#N/A,#N/A,TRUE,"5-1";#N/A,#N/A,TRUE,"5-2";#N/A,#N/A,TRUE,"6-1";#N/A,#N/A,TRUE,"6-2";#N/A,#N/A,TRUE,"7-1";#N/A,#N/A,TRUE,"7-2";#N/A,#N/A,TRUE,"8.";#N/A,#N/A,TRUE,"9."}</definedName>
    <definedName name="_Sort" hidden="1">#REF!</definedName>
    <definedName name="_T1" hidden="1">{#N/A,#N/A,TRUE,"목차";#N/A,#N/A,TRUE,"1.";#N/A,#N/A,TRUE,"2.";#N/A,#N/A,TRUE,"3.";#N/A,#N/A,TRUE,"4-1";#N/A,#N/A,TRUE,"-2";#N/A,#N/A,TRUE,"-3";#N/A,#N/A,TRUE,"-4";#N/A,#N/A,TRUE,"5-1";#N/A,#N/A,TRUE,"5-2";#N/A,#N/A,TRUE,"6-1";#N/A,#N/A,TRUE,"6-2";#N/A,#N/A,TRUE,"7-1";#N/A,#N/A,TRUE,"7-2";#N/A,#N/A,TRUE,"8.";#N/A,#N/A,TRUE,"9."}</definedName>
    <definedName name="_Table2_In1" hidden="1">#REF!</definedName>
    <definedName name="_Table2_In2" hidden="1">#REF!</definedName>
    <definedName name="_Table2_Out" hidden="1">#REF!</definedName>
    <definedName name="_xleta.FILTER" hidden="1" xlm="1">#NAME?</definedName>
    <definedName name="_xleta.IFS" hidden="1" xlm="1">#NAME?</definedName>
    <definedName name="_xleta.TEXT" hidden="1" xlm="1">#NAME?</definedName>
    <definedName name="_xleta.TEXTJOIN" hidden="1" xlm="1">#NAME?</definedName>
    <definedName name="_xleta.TODAY" hidden="1" xlm="1">#NAME?</definedName>
    <definedName name="_xlpm.c" hidden="1" xlm="1">#NAME?</definedName>
    <definedName name="_xlpm.date_list" hidden="1" xlm="1">#NAME?</definedName>
    <definedName name="_xlpm.date_matrix" hidden="1" xlm="1">#NAME?</definedName>
    <definedName name="_xlpm.dates" hidden="1" xlm="1">#NAME?</definedName>
    <definedName name="_xlpm.latest" hidden="1" xlm="1">#NAME?</definedName>
    <definedName name="_xlpm.pending" hidden="1" xlm="1">#NAME?</definedName>
    <definedName name="_xlpm.r" hidden="1" xlm="1">#NAME?</definedName>
    <definedName name="_xlpm.ss_list" hidden="1" xlm="1">#NAME?</definedName>
    <definedName name="_xlpm.ssops" hidden="1" xlm="1">#NAME?</definedName>
    <definedName name="aaaa" hidden="1">{"'매출계획'!$D$2"}</definedName>
    <definedName name="AAAAA" hidden="1">{"Edition",#N/A,FALSE,"Data"}</definedName>
    <definedName name="AAAAAA" hidden="1">{#N/A,#N/A,TRUE,"목차";#N/A,#N/A,TRUE,"1.";#N/A,#N/A,TRUE,"2.";#N/A,#N/A,TRUE,"3.";#N/A,#N/A,TRUE,"4-1";#N/A,#N/A,TRUE,"-2";#N/A,#N/A,TRUE,"-3";#N/A,#N/A,TRUE,"-4";#N/A,#N/A,TRUE,"5-1";#N/A,#N/A,TRUE,"5-2";#N/A,#N/A,TRUE,"6-1";#N/A,#N/A,TRUE,"6-2";#N/A,#N/A,TRUE,"7-1";#N/A,#N/A,TRUE,"7-2";#N/A,#N/A,TRUE,"8.";#N/A,#N/A,TRUE,"9."}</definedName>
    <definedName name="aaaaaaa" hidden="1">#REF!</definedName>
    <definedName name="AAAAAAAA" hidden="1">{"select Dock , Ship , Master , ShipType ,_x000D_
datepart( Year , R_WC ) ,_x000D_
datepart( Month , R_WC ) ,_x000D_
datepart( Day , R_WC )  ,_x000D_
_x000D_
datepart( Year , R_KL ) ,_x000D_
datepart( Month , R_KL ) ,_x000D_
datepart( Day , R_K";"L ) ,_x000D_
_x000D_
datepart( Year , R_LC ) ,_x000D_
datepart( Month , R_LC ) ,_x000D_
datepart( Day , R_LC ) ,_x000D_
_x000D_
datepart( Year , R_DEL ) ,_x000D_
datepart( Month , R_DEL ) ,_x000D_
datepart( Day , R_DEL ) ,_x000D_
_x000D_
( select ISNULL( SUM(V";"alue) , 0 ) from I_RealManHourData where subString( Code , 3 , 1 ) != 'X' and Ship = JobData.Ship )  ,_x000D_
_x000D_
( select ISNULL( SUM(Value) , 0 ) from I_RealManHourData where subString( Code , 6 , 2 ) IN ( ";"'W3' , 'W4' , 'W6' ) and Ship = JobData.Ship )  ,_x000D_
_x000D_
( select ISNULL( SUM(Value) , 0 ) from I_RealManHourData where subString( Code , 6 , 2 ) = 'P1' and Ship = JobData.Ship )   ,_x000D_
_x000D_
( select ISNULL( S";"UM(Value) , 0 ) from I_RealManHourData where subString( Code , 2 , 1 ) = 'G' and Ship = JobData.Ship )  ,_x000D_
( select ISNULL( SUM(Value) , 0 ) from I_RealManHourData where subString( Code , 2 , 1 ) = 'C";"' and Ship = JobData.Ship )  _x000D_
from JobData_x000D_
order by Dock , R_LC ,_x000D_
substring( Ship , 1 , 1) ,_x000D_
Breadth Desc"}</definedName>
    <definedName name="AAAAAAAAA" hidden="1">{#N/A,#N/A,TRUE,"목차";#N/A,#N/A,TRUE,"1.";#N/A,#N/A,TRUE,"2.";#N/A,#N/A,TRUE,"3.";#N/A,#N/A,TRUE,"4-1";#N/A,#N/A,TRUE,"-2";#N/A,#N/A,TRUE,"-3";#N/A,#N/A,TRUE,"-4";#N/A,#N/A,TRUE,"5-1";#N/A,#N/A,TRUE,"5-2";#N/A,#N/A,TRUE,"6-1";#N/A,#N/A,TRUE,"6-2";#N/A,#N/A,TRUE,"7-1";#N/A,#N/A,TRUE,"7-2";#N/A,#N/A,TRUE,"8.";#N/A,#N/A,TRUE,"9."}</definedName>
    <definedName name="aaaaaaaaaaa" hidden="1">{"'장비'!$A$3:$M$12"}</definedName>
    <definedName name="aaaaaaaaaaaaaaaaaaaaaaaaaaaaaaaaa" hidden="1">{"'매출계획'!$D$2"}</definedName>
    <definedName name="AAAQQ" hidden="1">{#N/A,#N/A,TRUE,"LOADCOVE";#N/A,#N/A,TRUE,"PAGE001";#N/A,#N/A,TRUE,"PAGE002";#N/A,#N/A,TRUE,"PAGE003";#N/A,#N/A,TRUE,"PAGE004";#N/A,#N/A,TRUE,"PAGE005";#N/A,#N/A,TRUE,"PAGE006";#N/A,#N/A,TRUE,"PAGE007";#N/A,#N/A,TRUE,"PAGE008";#N/A,#N/A,TRUE,"PAGE009";#N/A,#N/A,TRUE,"PAGE010";#N/A,#N/A,TRUE,"PAGE011";#N/A,#N/A,TRUE,"PAGE012";#N/A,#N/A,TRUE,"PAGE013"}</definedName>
    <definedName name="aad" hidden="1">{"'매출계획'!$D$2"}</definedName>
    <definedName name="AB" hidden="1">{#N/A,#N/A,TRUE,"목차";#N/A,#N/A,TRUE,"1.";#N/A,#N/A,TRUE,"2.";#N/A,#N/A,TRUE,"3.";#N/A,#N/A,TRUE,"4-1";#N/A,#N/A,TRUE,"-2";#N/A,#N/A,TRUE,"-3";#N/A,#N/A,TRUE,"-4";#N/A,#N/A,TRUE,"5-1";#N/A,#N/A,TRUE,"5-2";#N/A,#N/A,TRUE,"6-1";#N/A,#N/A,TRUE,"6-2";#N/A,#N/A,TRUE,"7-1";#N/A,#N/A,TRUE,"7-2";#N/A,#N/A,TRUE,"8.";#N/A,#N/A,TRUE,"9."}</definedName>
    <definedName name="abc" hidden="1">{"'매출계획'!$D$2"}</definedName>
    <definedName name="abcd" hidden="1">{"'매출계획'!$D$2"}</definedName>
    <definedName name="AC" hidden="1">{#N/A,#N/A,TRUE,"목차";#N/A,#N/A,TRUE,"1.";#N/A,#N/A,TRUE,"2.";#N/A,#N/A,TRUE,"3.";#N/A,#N/A,TRUE,"4-1";#N/A,#N/A,TRUE,"-2";#N/A,#N/A,TRUE,"-3";#N/A,#N/A,TRUE,"-4";#N/A,#N/A,TRUE,"5-1";#N/A,#N/A,TRUE,"5-2";#N/A,#N/A,TRUE,"6-1";#N/A,#N/A,TRUE,"6-2";#N/A,#N/A,TRUE,"7-1";#N/A,#N/A,TRUE,"7-2";#N/A,#N/A,TRUE,"8.";#N/A,#N/A,TRUE,"9."}</definedName>
    <definedName name="AccessDatabase" hidden="1">"D:\D4914_~5.mdb"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wvu.DETT.._.COSTI." hidden="1">#REF!</definedName>
    <definedName name="ACwvu.RIEPIL.." hidden="1">#REF!</definedName>
    <definedName name="AD" hidden="1">{"'매출계획'!$D$2"}</definedName>
    <definedName name="ADAF" hidden="1">{"'매출계획'!$D$2"}</definedName>
    <definedName name="ADAS" hidden="1">{"'매출계획'!$D$2"}</definedName>
    <definedName name="ADC" hidden="1">{"'매출계획'!$D$2"}</definedName>
    <definedName name="ADG" hidden="1">{"'매출계획'!$D$2"}</definedName>
    <definedName name="ADITION" hidden="1">{"'장비'!$A$3:$M$12"}</definedName>
    <definedName name="AERG" hidden="1">{"'매출계획'!$D$2"}</definedName>
    <definedName name="AERT" hidden="1">{"'매출계획'!$D$2"}</definedName>
    <definedName name="AG" hidden="1">{"'매출계획'!$D$2"}</definedName>
    <definedName name="AGG" hidden="1">{#N/A,#N/A,TRUE,"목차";#N/A,#N/A,TRUE,"1.";#N/A,#N/A,TRUE,"2.";#N/A,#N/A,TRUE,"3.";#N/A,#N/A,TRUE,"4-1";#N/A,#N/A,TRUE,"-2";#N/A,#N/A,TRUE,"-3";#N/A,#N/A,TRUE,"-4";#N/A,#N/A,TRUE,"5-1";#N/A,#N/A,TRUE,"5-2";#N/A,#N/A,TRUE,"6-1";#N/A,#N/A,TRUE,"6-2";#N/A,#N/A,TRUE,"7-1";#N/A,#N/A,TRUE,"7-2";#N/A,#N/A,TRUE,"8.";#N/A,#N/A,TRUE,"9."}</definedName>
    <definedName name="ALKSALKASDL" hidden="1">{"'매출계획'!$D$2"}</definedName>
    <definedName name="as" hidden="1">{"'매출계획'!$D$2"}</definedName>
    <definedName name="AS2DocOpenMode" hidden="1">"AS2DocumentEdit"</definedName>
    <definedName name="asasas" hidden="1">{#N/A,#N/A,TRUE,"LOADCOVE";#N/A,#N/A,TRUE,"PAGE001";#N/A,#N/A,TRUE,"PAGE002";#N/A,#N/A,TRUE,"PAGE003";#N/A,#N/A,TRUE,"PAGE004";#N/A,#N/A,TRUE,"PAGE005";#N/A,#N/A,TRUE,"PAGE006";#N/A,#N/A,TRUE,"PAGE007";#N/A,#N/A,TRUE,"PAGE008";#N/A,#N/A,TRUE,"PAGE009";#N/A,#N/A,TRUE,"PAGE010";#N/A,#N/A,TRUE,"PAGE011";#N/A,#N/A,TRUE,"PAGE012";#N/A,#N/A,TRUE,"PAGE013"}</definedName>
    <definedName name="ASD" hidden="1">{"'매출계획'!$D$2"}</definedName>
    <definedName name="ASDA" hidden="1">{"'매출계획'!$D$2"}</definedName>
    <definedName name="asdad" hidden="1">{#N/A,#N/A,TRUE,"목차";#N/A,#N/A,TRUE,"1.";#N/A,#N/A,TRUE,"2.";#N/A,#N/A,TRUE,"3.";#N/A,#N/A,TRUE,"4-1";#N/A,#N/A,TRUE,"-2";#N/A,#N/A,TRUE,"-3";#N/A,#N/A,TRUE,"-4";#N/A,#N/A,TRUE,"5-1";#N/A,#N/A,TRUE,"5-2";#N/A,#N/A,TRUE,"6-1";#N/A,#N/A,TRUE,"6-2";#N/A,#N/A,TRUE,"7-1";#N/A,#N/A,TRUE,"7-2";#N/A,#N/A,TRUE,"8.";#N/A,#N/A,TRUE,"9."}</definedName>
    <definedName name="ASㅁㄴㄴ" hidden="1">{"'매출계획'!$D$2"}</definedName>
    <definedName name="AT" hidden="1">{"'매출계획'!$D$2"}</definedName>
    <definedName name="AWERT" hidden="1">{"'매출계획'!$D$2"}</definedName>
    <definedName name="AZ" hidden="1">{"'매출계획'!$D$2"}</definedName>
    <definedName name="BAYU비교" hidden="1">{#N/A,#N/A,TRUE,"LOADCOVE";#N/A,#N/A,TRUE,"PAGE001";#N/A,#N/A,TRUE,"PAGE002";#N/A,#N/A,TRUE,"PAGE003";#N/A,#N/A,TRUE,"PAGE004";#N/A,#N/A,TRUE,"PAGE005";#N/A,#N/A,TRUE,"PAGE006";#N/A,#N/A,TRUE,"PAGE007";#N/A,#N/A,TRUE,"PAGE008";#N/A,#N/A,TRUE,"PAGE009";#N/A,#N/A,TRUE,"PAGE010";#N/A,#N/A,TRUE,"PAGE011";#N/A,#N/A,TRUE,"PAGE012";#N/A,#N/A,TRUE,"PAGE013"}</definedName>
    <definedName name="BCV" hidden="1">{"'매출계획'!$D$2"}</definedName>
    <definedName name="BGM비용예실" hidden="1">{#N/A,#N/A,TRUE,"LOADCOVE";#N/A,#N/A,TRUE,"PAGE001";#N/A,#N/A,TRUE,"PAGE002";#N/A,#N/A,TRUE,"PAGE003";#N/A,#N/A,TRUE,"PAGE004";#N/A,#N/A,TRUE,"PAGE005";#N/A,#N/A,TRUE,"PAGE006";#N/A,#N/A,TRUE,"PAGE007";#N/A,#N/A,TRUE,"PAGE008";#N/A,#N/A,TRUE,"PAGE009";#N/A,#N/A,TRUE,"PAGE010";#N/A,#N/A,TRUE,"PAGE011";#N/A,#N/A,TRUE,"PAGE012";#N/A,#N/A,TRUE,"PAGE013"}</definedName>
    <definedName name="BLOCK기준2" hidden="1">{"'매출계획'!$D$2"}</definedName>
    <definedName name="BOP" hidden="1">{#N/A,#N/A,TRUE,"LOADCOVE";#N/A,#N/A,TRUE,"PAGE001";#N/A,#N/A,TRUE,"PAGE002";#N/A,#N/A,TRUE,"PAGE003";#N/A,#N/A,TRUE,"PAGE004";#N/A,#N/A,TRUE,"PAGE005";#N/A,#N/A,TRUE,"PAGE006";#N/A,#N/A,TRUE,"PAGE007";#N/A,#N/A,TRUE,"PAGE008";#N/A,#N/A,TRUE,"PAGE009";#N/A,#N/A,TRUE,"PAGE010";#N/A,#N/A,TRUE,"PAGE011";#N/A,#N/A,TRUE,"PAGE012";#N/A,#N/A,TRUE,"PAGE013"}</definedName>
    <definedName name="BP" hidden="1">{"'매출계획'!$D$2"}</definedName>
    <definedName name="BTIP수정예산" hidden="1">{"'장비'!$A$3:$M$12"}</definedName>
    <definedName name="CA" hidden="1">#REF!</definedName>
    <definedName name="cacacac" hidden="1">{"'매출계획'!$D$2"}</definedName>
    <definedName name="Capacity기준" hidden="1">{#N/A,#N/A,FALSE,"DISCI종합";#N/A,#N/A,FALSE,"배관";#N/A,#N/A,FALSE,"전기계장";#N/A,#N/A,FALSE,"기계";#N/A,#N/A,FALSE,"철의장";#N/A,#N/A,FALSE,"거주구";#N/A,#N/A,FALSE,"HVAC"}</definedName>
    <definedName name="ccc" hidden="1">{#N/A,#N/A,TRUE,"목차";#N/A,#N/A,TRUE,"1.";#N/A,#N/A,TRUE,"2.";#N/A,#N/A,TRUE,"3.";#N/A,#N/A,TRUE,"4-1";#N/A,#N/A,TRUE,"-2";#N/A,#N/A,TRUE,"-3";#N/A,#N/A,TRUE,"-4";#N/A,#N/A,TRUE,"5-1";#N/A,#N/A,TRUE,"5-2";#N/A,#N/A,TRUE,"6-1";#N/A,#N/A,TRUE,"6-2";#N/A,#N/A,TRUE,"7-1";#N/A,#N/A,TRUE,"7-2";#N/A,#N/A,TRUE,"8.";#N/A,#N/A,TRUE,"9."}</definedName>
    <definedName name="CCCC" hidden="1">{#N/A,#N/A,TRUE,"목차";#N/A,#N/A,TRUE,"1.";#N/A,#N/A,TRUE,"2.";#N/A,#N/A,TRUE,"3.";#N/A,#N/A,TRUE,"4-1";#N/A,#N/A,TRUE,"-2";#N/A,#N/A,TRUE,"-3";#N/A,#N/A,TRUE,"-4";#N/A,#N/A,TRUE,"5-1";#N/A,#N/A,TRUE,"5-2";#N/A,#N/A,TRUE,"6-1";#N/A,#N/A,TRUE,"6-2";#N/A,#N/A,TRUE,"7-1";#N/A,#N/A,TRUE,"7-2";#N/A,#N/A,TRUE,"8.";#N/A,#N/A,TRUE,"9."}</definedName>
    <definedName name="CCCCCC" hidden="1">{#N/A,#N/A,TRUE,"목차";#N/A,#N/A,TRUE,"1.";#N/A,#N/A,TRUE,"2.";#N/A,#N/A,TRUE,"3.";#N/A,#N/A,TRUE,"4-1";#N/A,#N/A,TRUE,"-2";#N/A,#N/A,TRUE,"-3";#N/A,#N/A,TRUE,"-4";#N/A,#N/A,TRUE,"5-1";#N/A,#N/A,TRUE,"5-2";#N/A,#N/A,TRUE,"6-1";#N/A,#N/A,TRUE,"6-2";#N/A,#N/A,TRUE,"7-1";#N/A,#N/A,TRUE,"7-2";#N/A,#N/A,TRUE,"8.";#N/A,#N/A,TRUE,"9."}</definedName>
    <definedName name="cdf" hidden="1">{"'매출계획'!$D$2"}</definedName>
    <definedName name="cgmh" hidden="1">{"'용역비'!$A$4:$C$8"}</definedName>
    <definedName name="civil2" hidden="1">{"'장비'!$A$3:$M$12"}</definedName>
    <definedName name="CNTR" hidden="1">{#N/A,#N/A,TRUE,"목차";#N/A,#N/A,TRUE,"1.";#N/A,#N/A,TRUE,"2.";#N/A,#N/A,TRUE,"3.";#N/A,#N/A,TRUE,"4-1";#N/A,#N/A,TRUE,"-2";#N/A,#N/A,TRUE,"-3";#N/A,#N/A,TRUE,"-4";#N/A,#N/A,TRUE,"5-1";#N/A,#N/A,TRUE,"5-2";#N/A,#N/A,TRUE,"6-1";#N/A,#N/A,TRUE,"6-2";#N/A,#N/A,TRUE,"7-1";#N/A,#N/A,TRUE,"7-2";#N/A,#N/A,TRUE,"8.";#N/A,#N/A,TRUE,"9."}</definedName>
    <definedName name="CONTAINER" hidden="1">{"'매출계획'!$D$2"}</definedName>
    <definedName name="COPY" hidden="1">{#N/A,#N/A,TRUE,"LOADCOVE";#N/A,#N/A,TRUE,"PAGE001";#N/A,#N/A,TRUE,"PAGE002";#N/A,#N/A,TRUE,"PAGE003";#N/A,#N/A,TRUE,"PAGE004";#N/A,#N/A,TRUE,"PAGE005";#N/A,#N/A,TRUE,"PAGE006";#N/A,#N/A,TRUE,"PAGE007";#N/A,#N/A,TRUE,"PAGE008";#N/A,#N/A,TRUE,"PAGE009";#N/A,#N/A,TRUE,"PAGE010";#N/A,#N/A,TRUE,"PAGE011";#N/A,#N/A,TRUE,"PAGE012";#N/A,#N/A,TRUE,"PAGE013"}</definedName>
    <definedName name="COPY1" hidden="1">{#N/A,#N/A,TRUE,"LOADCOVE";#N/A,#N/A,TRUE,"PAGE001";#N/A,#N/A,TRUE,"PAGE002";#N/A,#N/A,TRUE,"PAGE003";#N/A,#N/A,TRUE,"PAGE004";#N/A,#N/A,TRUE,"PAGE005";#N/A,#N/A,TRUE,"PAGE006";#N/A,#N/A,TRUE,"PAGE007";#N/A,#N/A,TRUE,"PAGE008";#N/A,#N/A,TRUE,"PAGE009";#N/A,#N/A,TRUE,"PAGE010";#N/A,#N/A,TRUE,"PAGE011";#N/A,#N/A,TRUE,"PAGE012";#N/A,#N/A,TRUE,"PAGE013"}</definedName>
    <definedName name="Copyright" hidden="1">"© 1995 Worley Limited"</definedName>
    <definedName name="COT사다리" hidden="1">{"'매출계획'!$D$2"}</definedName>
    <definedName name="CXFB" hidden="1">{"'매출계획'!$D$2"}</definedName>
    <definedName name="DBLOCK" hidden="1">{#N/A,#N/A,TRUE,"목차";#N/A,#N/A,TRUE,"1.";#N/A,#N/A,TRUE,"2.";#N/A,#N/A,TRUE,"3.";#N/A,#N/A,TRUE,"4-1";#N/A,#N/A,TRUE,"-2";#N/A,#N/A,TRUE,"-3";#N/A,#N/A,TRUE,"-4";#N/A,#N/A,TRUE,"5-1";#N/A,#N/A,TRUE,"5-2";#N/A,#N/A,TRUE,"6-1";#N/A,#N/A,TRUE,"6-2";#N/A,#N/A,TRUE,"7-1";#N/A,#N/A,TRUE,"7-2";#N/A,#N/A,TRUE,"8.";#N/A,#N/A,TRUE,"9."}</definedName>
    <definedName name="dd" hidden="1">{"Edition",#N/A,FALSE,"Data"}</definedName>
    <definedName name="ddd" hidden="1">{#N/A,#N/A,TRUE,"835";#N/A,#N/A,TRUE,"220";#N/A,#N/A,TRUE,"SAG";#N/A,#N/A,TRUE,"605";#N/A,#N/A,TRUE,"665";#N/A,#N/A,TRUE,"210";#N/A,#N/A,TRUE,"GERAL";#N/A,#N/A,TRUE,"DEPCONC";#N/A,#N/A,TRUE,"TRAV";#N/A,#N/A,TRUE,"310";#N/A,#N/A,TRUE,"315";#N/A,#N/A,TRUE,"305";#N/A,#N/A,TRUE,"BAL";#N/A,#N/A,TRUE,"301";#N/A,#N/A,TRUE,"520";#N/A,#N/A,TRUE,"830"}</definedName>
    <definedName name="DDDS" hidden="1">{#N/A,#N/A,TRUE,"목차";#N/A,#N/A,TRUE,"1.";#N/A,#N/A,TRUE,"2.";#N/A,#N/A,TRUE,"3.";#N/A,#N/A,TRUE,"4-1";#N/A,#N/A,TRUE,"-2";#N/A,#N/A,TRUE,"-3";#N/A,#N/A,TRUE,"-4";#N/A,#N/A,TRUE,"5-1";#N/A,#N/A,TRUE,"5-2";#N/A,#N/A,TRUE,"6-1";#N/A,#N/A,TRUE,"6-2";#N/A,#N/A,TRUE,"7-1";#N/A,#N/A,TRUE,"7-2";#N/A,#N/A,TRUE,"8.";#N/A,#N/A,TRUE,"9."}</definedName>
    <definedName name="DDFDFD" hidden="1">{"'매출계획'!$D$2"}</definedName>
    <definedName name="DDS" hidden="1">{#N/A,#N/A,TRUE,"목차";#N/A,#N/A,TRUE,"1.";#N/A,#N/A,TRUE,"2.";#N/A,#N/A,TRUE,"3.";#N/A,#N/A,TRUE,"4-1";#N/A,#N/A,TRUE,"-2";#N/A,#N/A,TRUE,"-3";#N/A,#N/A,TRUE,"-4";#N/A,#N/A,TRUE,"5-1";#N/A,#N/A,TRUE,"5-2";#N/A,#N/A,TRUE,"6-1";#N/A,#N/A,TRUE,"6-2";#N/A,#N/A,TRUE,"7-1";#N/A,#N/A,TRUE,"7-2";#N/A,#N/A,TRUE,"8.";#N/A,#N/A,TRUE,"9."}</definedName>
    <definedName name="ddt" hidden="1">{#N/A,#N/A,TRUE,"목차";#N/A,#N/A,TRUE,"1.";#N/A,#N/A,TRUE,"2.";#N/A,#N/A,TRUE,"3.";#N/A,#N/A,TRUE,"4-1";#N/A,#N/A,TRUE,"-2";#N/A,#N/A,TRUE,"-3";#N/A,#N/A,TRUE,"-4";#N/A,#N/A,TRUE,"5-1";#N/A,#N/A,TRUE,"5-2";#N/A,#N/A,TRUE,"6-1";#N/A,#N/A,TRUE,"6-2";#N/A,#N/A,TRUE,"7-1";#N/A,#N/A,TRUE,"7-2";#N/A,#N/A,TRUE,"8.";#N/A,#N/A,TRUE,"9."}</definedName>
    <definedName name="DED" hidden="1">{"'장비'!$A$3:$M$12"}</definedName>
    <definedName name="deeee" hidden="1">{"'장비'!$A$3:$M$12"}</definedName>
    <definedName name="Defect_Table">'Defect List'!$A$1:$L$161</definedName>
    <definedName name="DEW" hidden="1">{"'매출계획'!$D$2"}</definedName>
    <definedName name="DF" hidden="1">{#N/A,#N/A,TRUE,"LOADCOVE";#N/A,#N/A,TRUE,"PAGE001";#N/A,#N/A,TRUE,"PAGE002";#N/A,#N/A,TRUE,"PAGE003";#N/A,#N/A,TRUE,"PAGE004";#N/A,#N/A,TRUE,"PAGE005";#N/A,#N/A,TRUE,"PAGE006";#N/A,#N/A,TRUE,"PAGE007";#N/A,#N/A,TRUE,"PAGE008";#N/A,#N/A,TRUE,"PAGE009";#N/A,#N/A,TRUE,"PAGE010";#N/A,#N/A,TRUE,"PAGE011";#N/A,#N/A,TRUE,"PAGE012";#N/A,#N/A,TRUE,"PAGE013"}</definedName>
    <definedName name="dfaf" hidden="1">{"'장비'!$A$3:$M$12"}</definedName>
    <definedName name="DFD" hidden="1">{"'매출계획'!$D$2"}</definedName>
    <definedName name="DFDFDFDF" hidden="1">{#N/A,#N/A,TRUE,"목차";#N/A,#N/A,TRUE,"1.";#N/A,#N/A,TRUE,"2.";#N/A,#N/A,TRUE,"3.";#N/A,#N/A,TRUE,"4-1";#N/A,#N/A,TRUE,"-2";#N/A,#N/A,TRUE,"-3";#N/A,#N/A,TRUE,"-4";#N/A,#N/A,TRUE,"5-1";#N/A,#N/A,TRUE,"5-2";#N/A,#N/A,TRUE,"6-1";#N/A,#N/A,TRUE,"6-2";#N/A,#N/A,TRUE,"7-1";#N/A,#N/A,TRUE,"7-2";#N/A,#N/A,TRUE,"8.";#N/A,#N/A,TRUE,"9."}</definedName>
    <definedName name="DFG" hidden="1">{"'매출계획'!$D$2"}</definedName>
    <definedName name="DFP" hidden="1">{#N/A,#N/A,TRUE,"835";#N/A,#N/A,TRUE,"220";#N/A,#N/A,TRUE,"SAG";#N/A,#N/A,TRUE,"605";#N/A,#N/A,TRUE,"665";#N/A,#N/A,TRUE,"210";#N/A,#N/A,TRUE,"GERAL";#N/A,#N/A,TRUE,"DEPCONC";#N/A,#N/A,TRUE,"TRAV";#N/A,#N/A,TRUE,"310";#N/A,#N/A,TRUE,"315";#N/A,#N/A,TRUE,"305";#N/A,#N/A,TRUE,"BAL";#N/A,#N/A,TRUE,"301";#N/A,#N/A,TRUE,"520";#N/A,#N/A,TRUE,"830"}</definedName>
    <definedName name="DFSD" hidden="1">{"'매출계획'!$D$2"}</definedName>
    <definedName name="DGH" hidden="1">{"'매출계획'!$D$2"}</definedName>
    <definedName name="dh" hidden="1">{#N/A,#N/A,TRUE,"목차";#N/A,#N/A,TRUE,"1.";#N/A,#N/A,TRUE,"2.";#N/A,#N/A,TRUE,"3.";#N/A,#N/A,TRUE,"4-1";#N/A,#N/A,TRUE,"-2";#N/A,#N/A,TRUE,"-3";#N/A,#N/A,TRUE,"-4";#N/A,#N/A,TRUE,"5-1";#N/A,#N/A,TRUE,"5-2";#N/A,#N/A,TRUE,"6-1";#N/A,#N/A,TRUE,"6-2";#N/A,#N/A,TRUE,"7-1";#N/A,#N/A,TRUE,"7-2";#N/A,#N/A,TRUE,"8.";#N/A,#N/A,TRUE,"9."}</definedName>
    <definedName name="DHG" hidden="1">{"'매출계획'!$D$2"}</definedName>
    <definedName name="dhj" hidden="1">{"'용역비'!$A$4:$C$8"}</definedName>
    <definedName name="DHUFD" hidden="1">{#N/A,#N/A,TRUE,"목차";#N/A,#N/A,TRUE,"1.";#N/A,#N/A,TRUE,"2.";#N/A,#N/A,TRUE,"3.";#N/A,#N/A,TRUE,"4-1";#N/A,#N/A,TRUE,"-2";#N/A,#N/A,TRUE,"-3";#N/A,#N/A,TRUE,"-4";#N/A,#N/A,TRUE,"5-1";#N/A,#N/A,TRUE,"5-2";#N/A,#N/A,TRUE,"6-1";#N/A,#N/A,TRUE,"6-2";#N/A,#N/A,TRUE,"7-1";#N/A,#N/A,TRUE,"7-2";#N/A,#N/A,TRUE,"8.";#N/A,#N/A,TRUE,"9."}</definedName>
    <definedName name="DJK" hidden="1">{#N/A,#N/A,TRUE,"LOADCOVE";#N/A,#N/A,TRUE,"PAGE001";#N/A,#N/A,TRUE,"PAGE002";#N/A,#N/A,TRUE,"PAGE003";#N/A,#N/A,TRUE,"PAGE004";#N/A,#N/A,TRUE,"PAGE005";#N/A,#N/A,TRUE,"PAGE006";#N/A,#N/A,TRUE,"PAGE007";#N/A,#N/A,TRUE,"PAGE008";#N/A,#N/A,TRUE,"PAGE009";#N/A,#N/A,TRUE,"PAGE010";#N/A,#N/A,TRUE,"PAGE011";#N/A,#N/A,TRUE,"PAGE012";#N/A,#N/A,TRUE,"PAGE013"}</definedName>
    <definedName name="DKFJ" hidden="1">{#N/A,#N/A,FALSE,"부서종합";#N/A,#N/A,FALSE,"DISC종합";#N/A,#N/A,FALSE,"생산1과";#N/A,#N/A,FALSE,"생산2과";#N/A,#N/A,FALSE,"전기계장";#N/A,#N/A,FALSE,"기계";#N/A,#N/A,FALSE,"철의장";#N/A,#N/A,FALSE,"거주구";#N/A,#N/A,FALSE,"HVAC"}</definedName>
    <definedName name="DLRGM" hidden="1">{#N/A,#N/A,TRUE,"LOADCOVE";#N/A,#N/A,TRUE,"PAGE001";#N/A,#N/A,TRUE,"PAGE002";#N/A,#N/A,TRUE,"PAGE003";#N/A,#N/A,TRUE,"PAGE004";#N/A,#N/A,TRUE,"PAGE005";#N/A,#N/A,TRUE,"PAGE006";#N/A,#N/A,TRUE,"PAGE007";#N/A,#N/A,TRUE,"PAGE008";#N/A,#N/A,TRUE,"PAGE009";#N/A,#N/A,TRUE,"PAGE010";#N/A,#N/A,TRUE,"PAGE011";#N/A,#N/A,TRUE,"PAGE012";#N/A,#N/A,TRUE,"PAGE013"}</definedName>
    <definedName name="dnhd" hidden="1">{#N/A,#N/A,TRUE,"LOADCOVE";#N/A,#N/A,TRUE,"PAGE001";#N/A,#N/A,TRUE,"PAGE002";#N/A,#N/A,TRUE,"PAGE003";#N/A,#N/A,TRUE,"PAGE004";#N/A,#N/A,TRUE,"PAGE005";#N/A,#N/A,TRUE,"PAGE006";#N/A,#N/A,TRUE,"PAGE007";#N/A,#N/A,TRUE,"PAGE008";#N/A,#N/A,TRUE,"PAGE009";#N/A,#N/A,TRUE,"PAGE010";#N/A,#N/A,TRUE,"PAGE011";#N/A,#N/A,TRUE,"PAGE012";#N/A,#N/A,TRUE,"PAGE013"}</definedName>
    <definedName name="DOCK" hidden="1">{"'매출계획'!$D$2"}</definedName>
    <definedName name="dsa" hidden="1">{#N/A,#N/A,TRUE,"목차";#N/A,#N/A,TRUE,"1.";#N/A,#N/A,TRUE,"2.";#N/A,#N/A,TRUE,"3.";#N/A,#N/A,TRUE,"4-1";#N/A,#N/A,TRUE,"-2";#N/A,#N/A,TRUE,"-3";#N/A,#N/A,TRUE,"-4";#N/A,#N/A,TRUE,"5-1";#N/A,#N/A,TRUE,"5-2";#N/A,#N/A,TRUE,"6-1";#N/A,#N/A,TRUE,"6-2";#N/A,#N/A,TRUE,"7-1";#N/A,#N/A,TRUE,"7-2";#N/A,#N/A,TRUE,"8.";#N/A,#N/A,TRUE,"9."}</definedName>
    <definedName name="dsada" hidden="1">{#N/A,#N/A,TRUE,"목차";#N/A,#N/A,TRUE,"1.";#N/A,#N/A,TRUE,"2.";#N/A,#N/A,TRUE,"3.";#N/A,#N/A,TRUE,"4-1";#N/A,#N/A,TRUE,"-2";#N/A,#N/A,TRUE,"-3";#N/A,#N/A,TRUE,"-4";#N/A,#N/A,TRUE,"5-1";#N/A,#N/A,TRUE,"5-2";#N/A,#N/A,TRUE,"6-1";#N/A,#N/A,TRUE,"6-2";#N/A,#N/A,TRUE,"7-1";#N/A,#N/A,TRUE,"7-2";#N/A,#N/A,TRUE,"8.";#N/A,#N/A,TRUE,"9."}</definedName>
    <definedName name="dsaddsad" hidden="1">{#N/A,#N/A,TRUE,"목차";#N/A,#N/A,TRUE,"1.";#N/A,#N/A,TRUE,"2.";#N/A,#N/A,TRUE,"3.";#N/A,#N/A,TRUE,"4-1";#N/A,#N/A,TRUE,"-2";#N/A,#N/A,TRUE,"-3";#N/A,#N/A,TRUE,"-4";#N/A,#N/A,TRUE,"5-1";#N/A,#N/A,TRUE,"5-2";#N/A,#N/A,TRUE,"6-1";#N/A,#N/A,TRUE,"6-2";#N/A,#N/A,TRUE,"7-1";#N/A,#N/A,TRUE,"7-2";#N/A,#N/A,TRUE,"8.";#N/A,#N/A,TRUE,"9."}</definedName>
    <definedName name="DXFTH" hidden="1">{"'매출계획'!$D$2"}</definedName>
    <definedName name="EARF" hidden="1">{"'매출계획'!$D$2"}</definedName>
    <definedName name="EASRYG" hidden="1">{"'매출계획'!$D$2"}</definedName>
    <definedName name="EEE" hidden="1">{#N/A,#N/A,TRUE,"목차";#N/A,#N/A,TRUE,"1.";#N/A,#N/A,TRUE,"2.";#N/A,#N/A,TRUE,"3.";#N/A,#N/A,TRUE,"4-1";#N/A,#N/A,TRUE,"-2";#N/A,#N/A,TRUE,"-3";#N/A,#N/A,TRUE,"-4";#N/A,#N/A,TRUE,"5-1";#N/A,#N/A,TRUE,"5-2";#N/A,#N/A,TRUE,"6-1";#N/A,#N/A,TRUE,"6-2";#N/A,#N/A,TRUE,"7-1";#N/A,#N/A,TRUE,"7-2";#N/A,#N/A,TRUE,"8.";#N/A,#N/A,TRUE,"9."}</definedName>
    <definedName name="eerr" hidden="1">{#N/A,#N/A,TRUE,"목차";#N/A,#N/A,TRUE,"1.";#N/A,#N/A,TRUE,"2.";#N/A,#N/A,TRUE,"3.";#N/A,#N/A,TRUE,"4-1";#N/A,#N/A,TRUE,"-2";#N/A,#N/A,TRUE,"-3";#N/A,#N/A,TRUE,"-4";#N/A,#N/A,TRUE,"5-1";#N/A,#N/A,TRUE,"5-2";#N/A,#N/A,TRUE,"6-1";#N/A,#N/A,TRUE,"6-2";#N/A,#N/A,TRUE,"7-1";#N/A,#N/A,TRUE,"7-2";#N/A,#N/A,TRUE,"8.";#N/A,#N/A,TRUE,"9."}</definedName>
    <definedName name="ej" hidden="1">{"'용역비'!$A$4:$C$8"}</definedName>
    <definedName name="EK" hidden="1">{#N/A,#N/A,TRUE,"LOADCOVE";#N/A,#N/A,TRUE,"PAGE001";#N/A,#N/A,TRUE,"PAGE002";#N/A,#N/A,TRUE,"PAGE003";#N/A,#N/A,TRUE,"PAGE004";#N/A,#N/A,TRUE,"PAGE005";#N/A,#N/A,TRUE,"PAGE006";#N/A,#N/A,TRUE,"PAGE007";#N/A,#N/A,TRUE,"PAGE008";#N/A,#N/A,TRUE,"PAGE009";#N/A,#N/A,TRUE,"PAGE010";#N/A,#N/A,TRUE,"PAGE011";#N/A,#N/A,TRUE,"PAGE012";#N/A,#N/A,TRUE,"PAGE013"}</definedName>
    <definedName name="eqwed" hidden="1">{#N/A,#N/A,TRUE,"목차";#N/A,#N/A,TRUE,"1.";#N/A,#N/A,TRUE,"2.";#N/A,#N/A,TRUE,"3.";#N/A,#N/A,TRUE,"4-1";#N/A,#N/A,TRUE,"-2";#N/A,#N/A,TRUE,"-3";#N/A,#N/A,TRUE,"-4";#N/A,#N/A,TRUE,"5-1";#N/A,#N/A,TRUE,"5-2";#N/A,#N/A,TRUE,"6-1";#N/A,#N/A,TRUE,"6-2";#N/A,#N/A,TRUE,"7-1";#N/A,#N/A,TRUE,"7-2";#N/A,#N/A,TRUE,"8.";#N/A,#N/A,TRUE,"9."}</definedName>
    <definedName name="ER" hidden="1">{#N/A,#N/A,TRUE,"목차";#N/A,#N/A,TRUE,"1.";#N/A,#N/A,TRUE,"2.";#N/A,#N/A,TRUE,"3.";#N/A,#N/A,TRUE,"4-1";#N/A,#N/A,TRUE,"-2";#N/A,#N/A,TRUE,"-3";#N/A,#N/A,TRUE,"-4";#N/A,#N/A,TRUE,"5-1";#N/A,#N/A,TRUE,"5-2";#N/A,#N/A,TRUE,"6-1";#N/A,#N/A,TRUE,"6-2";#N/A,#N/A,TRUE,"7-1";#N/A,#N/A,TRUE,"7-2";#N/A,#N/A,TRUE,"8.";#N/A,#N/A,TRUE,"9."}</definedName>
    <definedName name="erer" hidden="1">{#N/A,#N/A,FALSE,"부서종합";#N/A,#N/A,FALSE,"DISC종합";#N/A,#N/A,FALSE,"생산1과";#N/A,#N/A,FALSE,"생산2과";#N/A,#N/A,FALSE,"전기계장";#N/A,#N/A,FALSE,"기계";#N/A,#N/A,FALSE,"철의장";#N/A,#N/A,FALSE,"거주구";#N/A,#N/A,FALSE,"HVAC"}</definedName>
    <definedName name="ertetet" hidden="1">{#N/A,#N/A,TRUE,"목차";#N/A,#N/A,TRUE,"1.";#N/A,#N/A,TRUE,"2.";#N/A,#N/A,TRUE,"3.";#N/A,#N/A,TRUE,"4-1";#N/A,#N/A,TRUE,"-2";#N/A,#N/A,TRUE,"-3";#N/A,#N/A,TRUE,"-4";#N/A,#N/A,TRUE,"5-1";#N/A,#N/A,TRUE,"5-2";#N/A,#N/A,TRUE,"6-1";#N/A,#N/A,TRUE,"6-2";#N/A,#N/A,TRUE,"7-1";#N/A,#N/A,TRUE,"7-2";#N/A,#N/A,TRUE,"8.";#N/A,#N/A,TRUE,"9."}</definedName>
    <definedName name="ertetetertet" hidden="1">{#N/A,#N/A,TRUE,"목차";#N/A,#N/A,TRUE,"1.";#N/A,#N/A,TRUE,"2.";#N/A,#N/A,TRUE,"3.";#N/A,#N/A,TRUE,"4-1";#N/A,#N/A,TRUE,"-2";#N/A,#N/A,TRUE,"-3";#N/A,#N/A,TRUE,"-4";#N/A,#N/A,TRUE,"5-1";#N/A,#N/A,TRUE,"5-2";#N/A,#N/A,TRUE,"6-1";#N/A,#N/A,TRUE,"6-2";#N/A,#N/A,TRUE,"7-1";#N/A,#N/A,TRUE,"7-2";#N/A,#N/A,TRUE,"8.";#N/A,#N/A,TRUE,"9."}</definedName>
    <definedName name="ERTG" hidden="1">{"'매출계획'!$D$2"}</definedName>
    <definedName name="ertyertye" hidden="1">{"'용역비'!$A$4:$C$8"}</definedName>
    <definedName name="ERW" hidden="1">{"'장비'!$A$3:$M$12"}</definedName>
    <definedName name="etrtetet" hidden="1">{#N/A,#N/A,TRUE,"목차";#N/A,#N/A,TRUE,"1.";#N/A,#N/A,TRUE,"2.";#N/A,#N/A,TRUE,"3.";#N/A,#N/A,TRUE,"4-1";#N/A,#N/A,TRUE,"-2";#N/A,#N/A,TRUE,"-3";#N/A,#N/A,TRUE,"-4";#N/A,#N/A,TRUE,"5-1";#N/A,#N/A,TRUE,"5-2";#N/A,#N/A,TRUE,"6-1";#N/A,#N/A,TRUE,"6-2";#N/A,#N/A,TRUE,"7-1";#N/A,#N/A,TRUE,"7-2";#N/A,#N/A,TRUE,"8.";#N/A,#N/A,TRUE,"9."}</definedName>
    <definedName name="etyj" hidden="1">{"'용역비'!$A$4:$C$8"}</definedName>
    <definedName name="etyjj" hidden="1">{"'용역비'!$A$4:$C$8"}</definedName>
    <definedName name="EWEW" hidden="1">{#N/A,#N/A,TRUE,"목차";#N/A,#N/A,TRUE,"1.";#N/A,#N/A,TRUE,"2.";#N/A,#N/A,TRUE,"3.";#N/A,#N/A,TRUE,"4-1";#N/A,#N/A,TRUE,"-2";#N/A,#N/A,TRUE,"-3";#N/A,#N/A,TRUE,"-4";#N/A,#N/A,TRUE,"5-1";#N/A,#N/A,TRUE,"5-2";#N/A,#N/A,TRUE,"6-1";#N/A,#N/A,TRUE,"6-2";#N/A,#N/A,TRUE,"7-1";#N/A,#N/A,TRUE,"7-2";#N/A,#N/A,TRUE,"8.";#N/A,#N/A,TRUE,"9."}</definedName>
    <definedName name="ewqe" hidden="1">{#N/A,#N/A,TRUE,"목차";#N/A,#N/A,TRUE,"1.";#N/A,#N/A,TRUE,"2.";#N/A,#N/A,TRUE,"3.";#N/A,#N/A,TRUE,"4-1";#N/A,#N/A,TRUE,"-2";#N/A,#N/A,TRUE,"-3";#N/A,#N/A,TRUE,"-4";#N/A,#N/A,TRUE,"5-1";#N/A,#N/A,TRUE,"5-2";#N/A,#N/A,TRUE,"6-1";#N/A,#N/A,TRUE,"6-2";#N/A,#N/A,TRUE,"7-1";#N/A,#N/A,TRUE,"7-2";#N/A,#N/A,TRUE,"8.";#N/A,#N/A,TRUE,"9."}</definedName>
    <definedName name="ewqqq" hidden="1">{#N/A,#N/A,TRUE,"목차";#N/A,#N/A,TRUE,"1.";#N/A,#N/A,TRUE,"2.";#N/A,#N/A,TRUE,"3.";#N/A,#N/A,TRUE,"4-1";#N/A,#N/A,TRUE,"-2";#N/A,#N/A,TRUE,"-3";#N/A,#N/A,TRUE,"-4";#N/A,#N/A,TRUE,"5-1";#N/A,#N/A,TRUE,"5-2";#N/A,#N/A,TRUE,"6-1";#N/A,#N/A,TRUE,"6-2";#N/A,#N/A,TRUE,"7-1";#N/A,#N/A,TRUE,"7-2";#N/A,#N/A,TRUE,"8.";#N/A,#N/A,TRUE,"9."}</definedName>
    <definedName name="ExternalData_1" localSheetId="5" hidden="1">'Outstanding Defect (PQ)'!$A$1:$F$101</definedName>
    <definedName name="FA" hidden="1">{#N/A,#N/A,TRUE,"목차";#N/A,#N/A,TRUE,"1.";#N/A,#N/A,TRUE,"2.";#N/A,#N/A,TRUE,"3.";#N/A,#N/A,TRUE,"4-1";#N/A,#N/A,TRUE,"-2";#N/A,#N/A,TRUE,"-3";#N/A,#N/A,TRUE,"-4";#N/A,#N/A,TRUE,"5-1";#N/A,#N/A,TRUE,"5-2";#N/A,#N/A,TRUE,"6-1";#N/A,#N/A,TRUE,"6-2";#N/A,#N/A,TRUE,"7-1";#N/A,#N/A,TRUE,"7-2";#N/A,#N/A,TRUE,"8.";#N/A,#N/A,TRUE,"9."}</definedName>
    <definedName name="FDA" hidden="1">{"'매출계획'!$D$2"}</definedName>
    <definedName name="fdsaf" hidden="1">{#N/A,#N/A,TRUE,"목차";#N/A,#N/A,TRUE,"1.";#N/A,#N/A,TRUE,"2.";#N/A,#N/A,TRUE,"3.";#N/A,#N/A,TRUE,"4-1";#N/A,#N/A,TRUE,"-2";#N/A,#N/A,TRUE,"-3";#N/A,#N/A,TRUE,"-4";#N/A,#N/A,TRUE,"5-1";#N/A,#N/A,TRUE,"5-2";#N/A,#N/A,TRUE,"6-1";#N/A,#N/A,TRUE,"6-2";#N/A,#N/A,TRUE,"7-1";#N/A,#N/A,TRUE,"7-2";#N/A,#N/A,TRUE,"8.";#N/A,#N/A,TRUE,"9."}</definedName>
    <definedName name="ff" hidden="1">{"Edition",#N/A,FALSE,"Data"}</definedName>
    <definedName name="fff" hidden="1">{"'매출계획'!$D$2"}</definedName>
    <definedName name="FFFF" hidden="1">{"'매출계획'!$D$2"}</definedName>
    <definedName name="FFFFF" hidden="1">{#N/A,#N/A,TRUE,"목차";#N/A,#N/A,TRUE,"1.";#N/A,#N/A,TRUE,"2.";#N/A,#N/A,TRUE,"3.";#N/A,#N/A,TRUE,"4-1";#N/A,#N/A,TRUE,"-2";#N/A,#N/A,TRUE,"-3";#N/A,#N/A,TRUE,"-4";#N/A,#N/A,TRUE,"5-1";#N/A,#N/A,TRUE,"5-2";#N/A,#N/A,TRUE,"6-1";#N/A,#N/A,TRUE,"6-2";#N/A,#N/A,TRUE,"7-1";#N/A,#N/A,TRUE,"7-2";#N/A,#N/A,TRUE,"8.";#N/A,#N/A,TRUE,"9."}</definedName>
    <definedName name="fffffff" hidden="1">{#N/A,#N/A,TRUE,"목차";#N/A,#N/A,TRUE,"1.";#N/A,#N/A,TRUE,"2.";#N/A,#N/A,TRUE,"3.";#N/A,#N/A,TRUE,"4-1";#N/A,#N/A,TRUE,"-2";#N/A,#N/A,TRUE,"-3";#N/A,#N/A,TRUE,"-4";#N/A,#N/A,TRUE,"5-1";#N/A,#N/A,TRUE,"5-2";#N/A,#N/A,TRUE,"6-1";#N/A,#N/A,TRUE,"6-2";#N/A,#N/A,TRUE,"7-1";#N/A,#N/A,TRUE,"7-2";#N/A,#N/A,TRUE,"8.";#N/A,#N/A,TRUE,"9."}</definedName>
    <definedName name="FG" hidden="1">{#N/A,#N/A,FALSE,"부서종합";#N/A,#N/A,FALSE,"DISC종합";#N/A,#N/A,FALSE,"생산1과";#N/A,#N/A,FALSE,"생산2과";#N/A,#N/A,FALSE,"전기계장";#N/A,#N/A,FALSE,"기계";#N/A,#N/A,FALSE,"철의장";#N/A,#N/A,FALSE,"거주구";#N/A,#N/A,FALSE,"HVAC"}</definedName>
    <definedName name="fgf" hidden="1">{"'매출계획'!$D$2"}</definedName>
    <definedName name="fgh" hidden="1">{"'매출계획'!$D$2"}</definedName>
    <definedName name="FGHFG" hidden="1">{"'매출계획'!$D$2"}</definedName>
    <definedName name="FGHGS" hidden="1">{"'매출계획'!$D$2"}</definedName>
    <definedName name="FHSD" hidden="1">{"'매출계획'!$D$2"}</definedName>
    <definedName name="FK" hidden="1">{"'용역비'!$A$4:$C$8"}</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rghjhyjm" hidden="1">{"'매출계획'!$D$2"}</definedName>
    <definedName name="g" hidden="1">{"'장비'!$A$3:$M$12"}</definedName>
    <definedName name="GAFG" hidden="1">{"'매출계획'!$D$2"}</definedName>
    <definedName name="GB" hidden="1">{"'매출계획'!$D$2"}</definedName>
    <definedName name="GDE" hidden="1">{"'매출계획'!$D$2"}</definedName>
    <definedName name="GDHJN" hidden="1">{"'매출계획'!$D$2"}</definedName>
    <definedName name="gdsfg" hidden="1">{"'매출계획'!$D$2"}</definedName>
    <definedName name="GF" hidden="1">{"'매출계획'!$D$2"}</definedName>
    <definedName name="GFH" hidden="1">{"'매출계획'!$D$2"}</definedName>
    <definedName name="gg" hidden="1">{#N/A,#N/A,FALSE,"부서종합";#N/A,#N/A,FALSE,"DISC종합";#N/A,#N/A,FALSE,"생산1과";#N/A,#N/A,FALSE,"생산2과";#N/A,#N/A,FALSE,"전기계장";#N/A,#N/A,FALSE,"기계";#N/A,#N/A,FALSE,"철의장";#N/A,#N/A,FALSE,"거주구";#N/A,#N/A,FALSE,"HVAC"}</definedName>
    <definedName name="GGG" hidden="1">{"'매출계획'!$D$2"}</definedName>
    <definedName name="GGGG" hidden="1">{"'매출계획'!$D$2"}</definedName>
    <definedName name="GGZ" hidden="1">{#N/A,#N/A,TRUE,"목차";#N/A,#N/A,TRUE,"1.";#N/A,#N/A,TRUE,"2.";#N/A,#N/A,TRUE,"3.";#N/A,#N/A,TRUE,"4-1";#N/A,#N/A,TRUE,"-2";#N/A,#N/A,TRUE,"-3";#N/A,#N/A,TRUE,"-4";#N/A,#N/A,TRUE,"5-1";#N/A,#N/A,TRUE,"5-2";#N/A,#N/A,TRUE,"6-1";#N/A,#N/A,TRUE,"6-2";#N/A,#N/A,TRUE,"7-1";#N/A,#N/A,TRUE,"7-2";#N/A,#N/A,TRUE,"8.";#N/A,#N/A,TRUE,"9."}</definedName>
    <definedName name="GHDJN" hidden="1">{"'매출계획'!$D$2"}</definedName>
    <definedName name="ghfgh" hidden="1">{#N/A,#N/A,TRUE,"목차";#N/A,#N/A,TRUE,"1.";#N/A,#N/A,TRUE,"2.";#N/A,#N/A,TRUE,"3.";#N/A,#N/A,TRUE,"4-1";#N/A,#N/A,TRUE,"-2";#N/A,#N/A,TRUE,"-3";#N/A,#N/A,TRUE,"-4";#N/A,#N/A,TRUE,"5-1";#N/A,#N/A,TRUE,"5-2";#N/A,#N/A,TRUE,"6-1";#N/A,#N/A,TRUE,"6-2";#N/A,#N/A,TRUE,"7-1";#N/A,#N/A,TRUE,"7-2";#N/A,#N/A,TRUE,"8.";#N/A,#N/A,TRUE,"9."}</definedName>
    <definedName name="GHG" hidden="1">{"'매출계획'!$D$2"}</definedName>
    <definedName name="GHJDM" hidden="1">{"'매출계획'!$D$2"}</definedName>
    <definedName name="GHM" hidden="1">{"'매출계획'!$D$2"}</definedName>
    <definedName name="GJG" hidden="1">{#N/A,#N/A,TRUE,"목차";#N/A,#N/A,TRUE,"1.";#N/A,#N/A,TRUE,"2.";#N/A,#N/A,TRUE,"3.";#N/A,#N/A,TRUE,"4-1";#N/A,#N/A,TRUE,"-2";#N/A,#N/A,TRUE,"-3";#N/A,#N/A,TRUE,"-4";#N/A,#N/A,TRUE,"5-1";#N/A,#N/A,TRUE,"5-2";#N/A,#N/A,TRUE,"6-1";#N/A,#N/A,TRUE,"6-2";#N/A,#N/A,TRUE,"7-1";#N/A,#N/A,TRUE,"7-2";#N/A,#N/A,TRUE,"8.";#N/A,#N/A,TRUE,"9."}</definedName>
    <definedName name="GJJ" hidden="1">{"'매출계획'!$D$2"}</definedName>
    <definedName name="GNJ" hidden="1">{"'매출계획'!$D$2"}</definedName>
    <definedName name="GTH" hidden="1">{"'매출계획'!$D$2"}</definedName>
    <definedName name="guseo" hidden="1">{#N/A,#N/A,TRUE,"목차";#N/A,#N/A,TRUE,"1.";#N/A,#N/A,TRUE,"2.";#N/A,#N/A,TRUE,"3.";#N/A,#N/A,TRUE,"4-1";#N/A,#N/A,TRUE,"-2";#N/A,#N/A,TRUE,"-3";#N/A,#N/A,TRUE,"-4";#N/A,#N/A,TRUE,"5-1";#N/A,#N/A,TRUE,"5-2";#N/A,#N/A,TRUE,"6-1";#N/A,#N/A,TRUE,"6-2";#N/A,#N/A,TRUE,"7-1";#N/A,#N/A,TRUE,"7-2";#N/A,#N/A,TRUE,"8.";#N/A,#N/A,TRUE,"9."}</definedName>
    <definedName name="ha" hidden="1">{#N/A,#N/A,FALSE,"지침";#N/A,#N/A,FALSE,"환경분석";#N/A,#N/A,FALSE,"Sheet16"}</definedName>
    <definedName name="HGFD" hidden="1">{"'매출계획'!$D$2"}</definedName>
    <definedName name="HHH" hidden="1">{"'매출계획'!$D$2"}</definedName>
    <definedName name="HHHH" hidden="1">{"'매출계획'!$D$2"}</definedName>
    <definedName name="HHHHHH" hidden="1">{"'매출계획'!$D$2"}</definedName>
    <definedName name="HN" hidden="1">{"'매출계획'!$D$2"}</definedName>
    <definedName name="HOLD" hidden="1">{#N/A,#N/A,TRUE,"목차";#N/A,#N/A,TRUE,"1.";#N/A,#N/A,TRUE,"2.";#N/A,#N/A,TRUE,"3.";#N/A,#N/A,TRUE,"4-1";#N/A,#N/A,TRUE,"-2";#N/A,#N/A,TRUE,"-3";#N/A,#N/A,TRUE,"-4";#N/A,#N/A,TRUE,"5-1";#N/A,#N/A,TRUE,"5-2";#N/A,#N/A,TRUE,"6-1";#N/A,#N/A,TRUE,"6-2";#N/A,#N/A,TRUE,"7-1";#N/A,#N/A,TRUE,"7-2";#N/A,#N/A,TRUE,"8.";#N/A,#N/A,TRUE,"9."}</definedName>
    <definedName name="HRF" hidden="1">{"'매출계획'!$D$2"}</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rrr" hidden="1">{#N/A,#N/A,TRUE,"목차";#N/A,#N/A,TRUE,"1.";#N/A,#N/A,TRUE,"2.";#N/A,#N/A,TRUE,"3.";#N/A,#N/A,TRUE,"4-1";#N/A,#N/A,TRUE,"-2";#N/A,#N/A,TRUE,"-3";#N/A,#N/A,TRUE,"-4";#N/A,#N/A,TRUE,"5-1";#N/A,#N/A,TRUE,"5-2";#N/A,#N/A,TRUE,"6-1";#N/A,#N/A,TRUE,"6-2";#N/A,#N/A,TRUE,"7-1";#N/A,#N/A,TRUE,"7-2";#N/A,#N/A,TRUE,"8.";#N/A,#N/A,TRUE,"9."}</definedName>
    <definedName name="hy" hidden="1">{#N/A,#N/A,TRUE,"목차";#N/A,#N/A,TRUE,"1.";#N/A,#N/A,TRUE,"2.";#N/A,#N/A,TRUE,"3.";#N/A,#N/A,TRUE,"4-1";#N/A,#N/A,TRUE,"-2";#N/A,#N/A,TRUE,"-3";#N/A,#N/A,TRUE,"-4";#N/A,#N/A,TRUE,"5-1";#N/A,#N/A,TRUE,"5-2";#N/A,#N/A,TRUE,"6-1";#N/A,#N/A,TRUE,"6-2";#N/A,#N/A,TRUE,"7-1";#N/A,#N/A,TRUE,"7-2";#N/A,#N/A,TRUE,"8.";#N/A,#N/A,TRUE,"9."}</definedName>
    <definedName name="hyh" hidden="1">{#N/A,#N/A,TRUE,"목차";#N/A,#N/A,TRUE,"1.";#N/A,#N/A,TRUE,"2.";#N/A,#N/A,TRUE,"3.";#N/A,#N/A,TRUE,"4-1";#N/A,#N/A,TRUE,"-2";#N/A,#N/A,TRUE,"-3";#N/A,#N/A,TRUE,"-4";#N/A,#N/A,TRUE,"5-1";#N/A,#N/A,TRUE,"5-2";#N/A,#N/A,TRUE,"6-1";#N/A,#N/A,TRUE,"6-2";#N/A,#N/A,TRUE,"7-1";#N/A,#N/A,TRUE,"7-2";#N/A,#N/A,TRUE,"8.";#N/A,#N/A,TRUE,"9."}</definedName>
    <definedName name="hyhyhyhyhy" hidden="1">{#N/A,#N/A,TRUE,"목차";#N/A,#N/A,TRUE,"1.";#N/A,#N/A,TRUE,"2.";#N/A,#N/A,TRUE,"3.";#N/A,#N/A,TRUE,"4-1";#N/A,#N/A,TRUE,"-2";#N/A,#N/A,TRUE,"-3";#N/A,#N/A,TRUE,"-4";#N/A,#N/A,TRUE,"5-1";#N/A,#N/A,TRUE,"5-2";#N/A,#N/A,TRUE,"6-1";#N/A,#N/A,TRUE,"6-2";#N/A,#N/A,TRUE,"7-1";#N/A,#N/A,TRUE,"7-2";#N/A,#N/A,TRUE,"8.";#N/A,#N/A,TRUE,"9."}</definedName>
    <definedName name="HYUYUUHJUJUU" hidden="1">{"'매출계획'!$D$2"}</definedName>
    <definedName name="hyy" hidden="1">{#N/A,#N/A,TRUE,"목차";#N/A,#N/A,TRUE,"1.";#N/A,#N/A,TRUE,"2.";#N/A,#N/A,TRUE,"3.";#N/A,#N/A,TRUE,"4-1";#N/A,#N/A,TRUE,"-2";#N/A,#N/A,TRUE,"-3";#N/A,#N/A,TRUE,"-4";#N/A,#N/A,TRUE,"5-1";#N/A,#N/A,TRUE,"5-2";#N/A,#N/A,TRUE,"6-1";#N/A,#N/A,TRUE,"6-2";#N/A,#N/A,TRUE,"7-1";#N/A,#N/A,TRUE,"7-2";#N/A,#N/A,TRUE,"8.";#N/A,#N/A,TRUE,"9."}</definedName>
    <definedName name="ICE" hidden="1">{#N/A,#N/A,TRUE,"목차";#N/A,#N/A,TRUE,"1.";#N/A,#N/A,TRUE,"2.";#N/A,#N/A,TRUE,"3.";#N/A,#N/A,TRUE,"4-1";#N/A,#N/A,TRUE,"-2";#N/A,#N/A,TRUE,"-3";#N/A,#N/A,TRUE,"-4";#N/A,#N/A,TRUE,"5-1";#N/A,#N/A,TRUE,"5-2";#N/A,#N/A,TRUE,"6-1";#N/A,#N/A,TRUE,"6-2";#N/A,#N/A,TRUE,"7-1";#N/A,#N/A,TRUE,"7-2";#N/A,#N/A,TRUE,"8.";#N/A,#N/A,TRUE,"9."}</definedName>
    <definedName name="IIII" hidden="1">{"'매출계획'!$D$2"}</definedName>
    <definedName name="JGH" hidden="1">{"'매출계획'!$D$2"}</definedName>
    <definedName name="JH" hidden="1">{"'매출계획'!$D$2"}</definedName>
    <definedName name="jiu" hidden="1">{#N/A,#N/A,TRUE,"목차";#N/A,#N/A,TRUE,"1.";#N/A,#N/A,TRUE,"2.";#N/A,#N/A,TRUE,"3.";#N/A,#N/A,TRUE,"4-1";#N/A,#N/A,TRUE,"-2";#N/A,#N/A,TRUE,"-3";#N/A,#N/A,TRUE,"-4";#N/A,#N/A,TRUE,"5-1";#N/A,#N/A,TRUE,"5-2";#N/A,#N/A,TRUE,"6-1";#N/A,#N/A,TRUE,"6-2";#N/A,#N/A,TRUE,"7-1";#N/A,#N/A,TRUE,"7-2";#N/A,#N/A,TRUE,"8.";#N/A,#N/A,TRUE,"9."}</definedName>
    <definedName name="JJJ" hidden="1">#REF!</definedName>
    <definedName name="JJJJ" hidden="1">{"'매출계획'!$D$2"}</definedName>
    <definedName name="jjjjjjjjjjjjjjjjjjjjjjjjjjjj" hidden="1">{"'매출계획'!$D$2"}</definedName>
    <definedName name="JKJKJK" hidden="1">{"'매출계획'!$D$2"}</definedName>
    <definedName name="KEW" hidden="1">{#N/A,#N/A,TRUE,"목차";#N/A,#N/A,TRUE,"1.";#N/A,#N/A,TRUE,"2.";#N/A,#N/A,TRUE,"3.";#N/A,#N/A,TRUE,"4-1";#N/A,#N/A,TRUE,"-2";#N/A,#N/A,TRUE,"-3";#N/A,#N/A,TRUE,"-4";#N/A,#N/A,TRUE,"5-1";#N/A,#N/A,TRUE,"5-2";#N/A,#N/A,TRUE,"6-1";#N/A,#N/A,TRUE,"6-2";#N/A,#N/A,TRUE,"7-1";#N/A,#N/A,TRUE,"7-2";#N/A,#N/A,TRUE,"8.";#N/A,#N/A,TRUE,"9."}</definedName>
    <definedName name="KJH" hidden="1">{#N/A,#N/A,TRUE,"LOADCOVE";#N/A,#N/A,TRUE,"PAGE001";#N/A,#N/A,TRUE,"PAGE002";#N/A,#N/A,TRUE,"PAGE003";#N/A,#N/A,TRUE,"PAGE004";#N/A,#N/A,TRUE,"PAGE005";#N/A,#N/A,TRUE,"PAGE006";#N/A,#N/A,TRUE,"PAGE007";#N/A,#N/A,TRUE,"PAGE008";#N/A,#N/A,TRUE,"PAGE009";#N/A,#N/A,TRUE,"PAGE010";#N/A,#N/A,TRUE,"PAGE011";#N/A,#N/A,TRUE,"PAGE012";#N/A,#N/A,TRUE,"PAGE013"}</definedName>
    <definedName name="KKK" hidden="1">#REF!</definedName>
    <definedName name="KKKKKKK" hidden="1">{#N/A,#N/A,TRUE,"목차";#N/A,#N/A,TRUE,"1.";#N/A,#N/A,TRUE,"2.";#N/A,#N/A,TRUE,"3.";#N/A,#N/A,TRUE,"4-1";#N/A,#N/A,TRUE,"-2";#N/A,#N/A,TRUE,"-3";#N/A,#N/A,TRUE,"-4";#N/A,#N/A,TRUE,"5-1";#N/A,#N/A,TRUE,"5-2";#N/A,#N/A,TRUE,"6-1";#N/A,#N/A,TRUE,"6-2";#N/A,#N/A,TRUE,"7-1";#N/A,#N/A,TRUE,"7-2";#N/A,#N/A,TRUE,"8.";#N/A,#N/A,TRUE,"9."}</definedName>
    <definedName name="klm" hidden="1">{#N/A,#N/A,TRUE,"목차";#N/A,#N/A,TRUE,"1.";#N/A,#N/A,TRUE,"2.";#N/A,#N/A,TRUE,"3.";#N/A,#N/A,TRUE,"4-1";#N/A,#N/A,TRUE,"-2";#N/A,#N/A,TRUE,"-3";#N/A,#N/A,TRUE,"-4";#N/A,#N/A,TRUE,"5-1";#N/A,#N/A,TRUE,"5-2";#N/A,#N/A,TRUE,"6-1";#N/A,#N/A,TRUE,"6-2";#N/A,#N/A,TRUE,"7-1";#N/A,#N/A,TRUE,"7-2";#N/A,#N/A,TRUE,"8.";#N/A,#N/A,TRUE,"9."}</definedName>
    <definedName name="KM" hidden="1">{"'매출계획'!$D$2"}</definedName>
    <definedName name="kmj" hidden="1">{"'매출계획'!$D$2"}</definedName>
    <definedName name="KNUCKLE" hidden="1">{"'매출계획'!$D$2"}</definedName>
    <definedName name="KS" hidden="1">{#N/A,#N/A,FALSE,"지침";#N/A,#N/A,FALSE,"환경분석";#N/A,#N/A,FALSE,"Sheet16"}</definedName>
    <definedName name="KSE" hidden="1">{#N/A,#N/A,TRUE,"목차";#N/A,#N/A,TRUE,"1.";#N/A,#N/A,TRUE,"2.";#N/A,#N/A,TRUE,"3.";#N/A,#N/A,TRUE,"4-1";#N/A,#N/A,TRUE,"-2";#N/A,#N/A,TRUE,"-3";#N/A,#N/A,TRUE,"-4";#N/A,#N/A,TRUE,"5-1";#N/A,#N/A,TRUE,"5-2";#N/A,#N/A,TRUE,"6-1";#N/A,#N/A,TRUE,"6-2";#N/A,#N/A,TRUE,"7-1";#N/A,#N/A,TRUE,"7-2";#N/A,#N/A,TRUE,"8.";#N/A,#N/A,TRUE,"9."}</definedName>
    <definedName name="KYH" hidden="1">{#N/A,#N/A,TRUE,"LOADCOVE";#N/A,#N/A,TRUE,"PAGE001";#N/A,#N/A,TRUE,"PAGE002";#N/A,#N/A,TRUE,"PAGE003";#N/A,#N/A,TRUE,"PAGE004";#N/A,#N/A,TRUE,"PAGE005";#N/A,#N/A,TRUE,"PAGE006";#N/A,#N/A,TRUE,"PAGE007";#N/A,#N/A,TRUE,"PAGE008";#N/A,#N/A,TRUE,"PAGE009";#N/A,#N/A,TRUE,"PAGE010";#N/A,#N/A,TRUE,"PAGE011";#N/A,#N/A,TRUE,"PAGE012";#N/A,#N/A,TRUE,"PAGE013"}</definedName>
    <definedName name="L" hidden="1">{"'매출계획'!$D$2"}</definedName>
    <definedName name="LLL" hidden="1">#REF!</definedName>
    <definedName name="LLLL" hidden="1">{"'매출계획'!$D$2"}</definedName>
    <definedName name="LNG" hidden="1">{#N/A,#N/A,TRUE,"목차";#N/A,#N/A,TRUE,"1.";#N/A,#N/A,TRUE,"2.";#N/A,#N/A,TRUE,"3.";#N/A,#N/A,TRUE,"4-1";#N/A,#N/A,TRUE,"-2";#N/A,#N/A,TRUE,"-3";#N/A,#N/A,TRUE,"-4";#N/A,#N/A,TRUE,"5-1";#N/A,#N/A,TRUE,"5-2";#N/A,#N/A,TRUE,"6-1";#N/A,#N/A,TRUE,"6-2";#N/A,#N/A,TRUE,"7-1";#N/A,#N/A,TRUE,"7-2";#N/A,#N/A,TRUE,"8.";#N/A,#N/A,TRUE,"9."}</definedName>
    <definedName name="LOAD" hidden="1">{"'매출계획'!$D$2"}</definedName>
    <definedName name="LOAD1" hidden="1">{"'매출계획'!$D$2"}</definedName>
    <definedName name="LOAD11" hidden="1">{"'매출계획'!$D$2"}</definedName>
    <definedName name="LOAD2" hidden="1">{"'매출계획'!$D$2"}</definedName>
    <definedName name="LOAD3" hidden="1">{"'매출계획'!$D$2"}</definedName>
    <definedName name="load4" hidden="1">{"DRIVER={SQL Server};SERVER=HANEUL;UID=gibon;PWD=gibon;WSID=GIBON;DATABASE=GIBON"}</definedName>
    <definedName name="LOADDD" hidden="1">{"'매출계획'!$D$2"}</definedName>
    <definedName name="LPG" hidden="1">{#N/A,#N/A,TRUE,"목차";#N/A,#N/A,TRUE,"1.";#N/A,#N/A,TRUE,"2.";#N/A,#N/A,TRUE,"3.";#N/A,#N/A,TRUE,"4-1";#N/A,#N/A,TRUE,"-2";#N/A,#N/A,TRUE,"-3";#N/A,#N/A,TRUE,"-4";#N/A,#N/A,TRUE,"5-1";#N/A,#N/A,TRUE,"5-2";#N/A,#N/A,TRUE,"6-1";#N/A,#N/A,TRUE,"6-2";#N/A,#N/A,TRUE,"7-1";#N/A,#N/A,TRUE,"7-2";#N/A,#N/A,TRUE,"8.";#N/A,#N/A,TRUE,"9."}</definedName>
    <definedName name="luminecent" hidden="1">{#N/A,#N/A,TRUE,"LOADCOVE";#N/A,#N/A,TRUE,"PAGE001";#N/A,#N/A,TRUE,"PAGE002";#N/A,#N/A,TRUE,"PAGE003";#N/A,#N/A,TRUE,"PAGE004";#N/A,#N/A,TRUE,"PAGE005";#N/A,#N/A,TRUE,"PAGE006";#N/A,#N/A,TRUE,"PAGE007";#N/A,#N/A,TRUE,"PAGE008";#N/A,#N/A,TRUE,"PAGE009";#N/A,#N/A,TRUE,"PAGE010";#N/A,#N/A,TRUE,"PAGE011";#N/A,#N/A,TRUE,"PAGE012";#N/A,#N/A,TRUE,"PAGE013"}</definedName>
    <definedName name="macro" hidden="1">{#N/A,#N/A,TRUE,"LOADCOVE";#N/A,#N/A,TRUE,"PAGE001";#N/A,#N/A,TRUE,"PAGE002";#N/A,#N/A,TRUE,"PAGE003";#N/A,#N/A,TRUE,"PAGE004";#N/A,#N/A,TRUE,"PAGE005";#N/A,#N/A,TRUE,"PAGE006";#N/A,#N/A,TRUE,"PAGE007";#N/A,#N/A,TRUE,"PAGE008";#N/A,#N/A,TRUE,"PAGE009";#N/A,#N/A,TRUE,"PAGE010";#N/A,#N/A,TRUE,"PAGE011";#N/A,#N/A,TRUE,"PAGE012";#N/A,#N/A,TRUE,"PAGE013"}</definedName>
    <definedName name="Maintenance_Job_Table">'Job Planning'!$A$3:$W$137</definedName>
    <definedName name="MH" hidden="1">{"'매출계획'!$D$2"}</definedName>
    <definedName name="MHD" hidden="1">{"'매출계획'!$D$2"}</definedName>
    <definedName name="MHY" hidden="1">{"'매출계획'!$D$2"}</definedName>
    <definedName name="MKU" hidden="1">{"'매출계획'!$D$2"}</definedName>
    <definedName name="mmhhxssd" hidden="1">{#N/A,#N/A,TRUE,"목차";#N/A,#N/A,TRUE,"1.";#N/A,#N/A,TRUE,"2.";#N/A,#N/A,TRUE,"3.";#N/A,#N/A,TRUE,"4-1";#N/A,#N/A,TRUE,"-2";#N/A,#N/A,TRUE,"-3";#N/A,#N/A,TRUE,"-4";#N/A,#N/A,TRUE,"5-1";#N/A,#N/A,TRUE,"5-2";#N/A,#N/A,TRUE,"6-1";#N/A,#N/A,TRUE,"6-2";#N/A,#N/A,TRUE,"7-1";#N/A,#N/A,TRUE,"7-2";#N/A,#N/A,TRUE,"8.";#N/A,#N/A,TRUE,"9."}</definedName>
    <definedName name="mmm" hidden="1">{#N/A,#N/A,TRUE,"목차";#N/A,#N/A,TRUE,"1.";#N/A,#N/A,TRUE,"2.";#N/A,#N/A,TRUE,"3.";#N/A,#N/A,TRUE,"4-1";#N/A,#N/A,TRUE,"-2";#N/A,#N/A,TRUE,"-3";#N/A,#N/A,TRUE,"-4";#N/A,#N/A,TRUE,"5-1";#N/A,#N/A,TRUE,"5-2";#N/A,#N/A,TRUE,"6-1";#N/A,#N/A,TRUE,"6-2";#N/A,#N/A,TRUE,"7-1";#N/A,#N/A,TRUE,"7-2";#N/A,#N/A,TRUE,"8.";#N/A,#N/A,TRUE,"9."}</definedName>
    <definedName name="mmvm" hidden="1">{"'매출계획'!$D$2"}</definedName>
    <definedName name="MNMNMNNMNMM" hidden="1">{"'매출계획'!$D$2"}</definedName>
    <definedName name="MTY" hidden="1">{"'매출계획'!$D$2"}</definedName>
    <definedName name="N" hidden="1">{"'매출계획'!$D$2"}</definedName>
    <definedName name="ND" hidden="1">{"'매출계획'!$D$2"}</definedName>
    <definedName name="New" hidden="1">{#N/A,#N/A,FALSE,"부서종합";#N/A,#N/A,FALSE,"DISC종합";#N/A,#N/A,FALSE,"생산1과";#N/A,#N/A,FALSE,"생산2과";#N/A,#N/A,FALSE,"전기계장";#N/A,#N/A,FALSE,"기계";#N/A,#N/A,FALSE,"철의장";#N/A,#N/A,FALSE,"거주구";#N/A,#N/A,FALSE,"HVAC"}</definedName>
    <definedName name="NFG" hidden="1">{"'매출계획'!$D$2"}</definedName>
    <definedName name="N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GF" hidden="1">{"'매출계획'!$D$2"}</definedName>
    <definedName name="NH" hidden="1">{"'매출계획'!$D$2"}</definedName>
    <definedName name="nis" hidden="1">#REF!</definedName>
    <definedName name="NNNNN" hidden="1">{#N/A,#N/A,FALSE,"지침";#N/A,#N/A,FALSE,"환경분석";#N/A,#N/A,FALSE,"Sheet16"}</definedName>
    <definedName name="NNNTU" hidden="1">{"'매출계획'!$D$2"}</definedName>
    <definedName name="ODH" hidden="1">#REF!</definedName>
    <definedName name="OIL" hidden="1">{"'용역비'!$A$4:$C$8"}</definedName>
    <definedName name="OOO" hidden="1">{"'매출계획'!$D$2"}</definedName>
    <definedName name="OOOO" hidden="1">{"'매출계획'!$D$2"}</definedName>
    <definedName name="OOOOOOOOPOPPP" hidden="1">{"'매출계획'!$D$2"}</definedName>
    <definedName name="outstanding2" hidden="1">{#N/A,#N/A,TRUE,"목차";#N/A,#N/A,TRUE,"1.";#N/A,#N/A,TRUE,"2.";#N/A,#N/A,TRUE,"3.";#N/A,#N/A,TRUE,"4-1";#N/A,#N/A,TRUE,"-2";#N/A,#N/A,TRUE,"-3";#N/A,#N/A,TRUE,"-4";#N/A,#N/A,TRUE,"5-1";#N/A,#N/A,TRUE,"5-2";#N/A,#N/A,TRUE,"6-1";#N/A,#N/A,TRUE,"6-2";#N/A,#N/A,TRUE,"7-1";#N/A,#N/A,TRUE,"7-2";#N/A,#N/A,TRUE,"8.";#N/A,#N/A,TRUE,"9."}</definedName>
    <definedName name="PAINT" hidden="1">{#N/A,#N/A,TRUE,"목차";#N/A,#N/A,TRUE,"1.";#N/A,#N/A,TRUE,"2.";#N/A,#N/A,TRUE,"3.";#N/A,#N/A,TRUE,"4-1";#N/A,#N/A,TRUE,"-2";#N/A,#N/A,TRUE,"-3";#N/A,#N/A,TRUE,"-4";#N/A,#N/A,TRUE,"5-1";#N/A,#N/A,TRUE,"5-2";#N/A,#N/A,TRUE,"6-1";#N/A,#N/A,TRUE,"6-2";#N/A,#N/A,TRUE,"7-1";#N/A,#N/A,TRUE,"7-2";#N/A,#N/A,TRUE,"8.";#N/A,#N/A,TRUE,"9."}</definedName>
    <definedName name="panamax" hidden="1">{#N/A,#N/A,TRUE,"목차";#N/A,#N/A,TRUE,"1.";#N/A,#N/A,TRUE,"2.";#N/A,#N/A,TRUE,"3.";#N/A,#N/A,TRUE,"4-1";#N/A,#N/A,TRUE,"-2";#N/A,#N/A,TRUE,"-3";#N/A,#N/A,TRUE,"-4";#N/A,#N/A,TRUE,"5-1";#N/A,#N/A,TRUE,"5-2";#N/A,#N/A,TRUE,"6-1";#N/A,#N/A,TRUE,"6-2";#N/A,#N/A,TRUE,"7-1";#N/A,#N/A,TRUE,"7-2";#N/A,#N/A,TRUE,"8.";#N/A,#N/A,TRUE,"9."}</definedName>
    <definedName name="PASJ" hidden="1">{"'매출계획'!$D$2"}</definedName>
    <definedName name="PCP" hidden="1">#REF!</definedName>
    <definedName name="PC교체대상자" hidden="1">{"'호선별현황(방식)'!$K$22:$P$22","'호선별현황(방식)'!$K$22:$P$22"}</definedName>
    <definedName name="pe" hidden="1">{#N/A,#N/A,TRUE,"목차";#N/A,#N/A,TRUE,"1.";#N/A,#N/A,TRUE,"2.";#N/A,#N/A,TRUE,"3.";#N/A,#N/A,TRUE,"4-1";#N/A,#N/A,TRUE,"-2";#N/A,#N/A,TRUE,"-3";#N/A,#N/A,TRUE,"-4";#N/A,#N/A,TRUE,"5-1";#N/A,#N/A,TRUE,"5-2";#N/A,#N/A,TRUE,"6-1";#N/A,#N/A,TRUE,"6-2";#N/A,#N/A,TRUE,"7-1";#N/A,#N/A,TRUE,"7-2";#N/A,#N/A,TRUE,"8.";#N/A,#N/A,TRUE,"9."}</definedName>
    <definedName name="poi" hidden="1">{#N/A,#N/A,TRUE,"목차";#N/A,#N/A,TRUE,"1.";#N/A,#N/A,TRUE,"2.";#N/A,#N/A,TRUE,"3.";#N/A,#N/A,TRUE,"4-1";#N/A,#N/A,TRUE,"-2";#N/A,#N/A,TRUE,"-3";#N/A,#N/A,TRUE,"-4";#N/A,#N/A,TRUE,"5-1";#N/A,#N/A,TRUE,"5-2";#N/A,#N/A,TRUE,"6-1";#N/A,#N/A,TRUE,"6-2";#N/A,#N/A,TRUE,"7-1";#N/A,#N/A,TRUE,"7-2";#N/A,#N/A,TRUE,"8.";#N/A,#N/A,TRUE,"9."}</definedName>
    <definedName name="PPP" hidden="1">{#N/A,#N/A,TRUE,"LOADCOVE";#N/A,#N/A,TRUE,"PAGE001";#N/A,#N/A,TRUE,"PAGE002";#N/A,#N/A,TRUE,"PAGE003";#N/A,#N/A,TRUE,"PAGE004";#N/A,#N/A,TRUE,"PAGE005";#N/A,#N/A,TRUE,"PAGE006";#N/A,#N/A,TRUE,"PAGE007";#N/A,#N/A,TRUE,"PAGE008";#N/A,#N/A,TRUE,"PAGE009";#N/A,#N/A,TRUE,"PAGE010";#N/A,#N/A,TRUE,"PAGE011";#N/A,#N/A,TRUE,"PAGE012";#N/A,#N/A,TRUE,"PAGE013"}</definedName>
    <definedName name="PPPP" hidden="1">{"'매출계획'!$D$2"}</definedName>
    <definedName name="q234562456" hidden="1">{"'용역비'!$A$4:$C$8"}</definedName>
    <definedName name="QKDRK" hidden="1">{"'매출계획'!$D$2"}</definedName>
    <definedName name="QPQPQ" hidden="1">{"'매출계획'!$D$2"}</definedName>
    <definedName name="qqq" hidden="1">{"'매출계획'!$D$2"}</definedName>
    <definedName name="qqqqqqqqqqqqqqqqqqqqqqqq" hidden="1">{"'매출계획'!$D$2"}</definedName>
    <definedName name="QUERY1.query_range" hidden="1">#REF!</definedName>
    <definedName name="QW" hidden="1">{#N/A,#N/A,TRUE,"LOADCOVE";#N/A,#N/A,TRUE,"PAGE001";#N/A,#N/A,TRUE,"PAGE002";#N/A,#N/A,TRUE,"PAGE003";#N/A,#N/A,TRUE,"PAGE004";#N/A,#N/A,TRUE,"PAGE005";#N/A,#N/A,TRUE,"PAGE006";#N/A,#N/A,TRUE,"PAGE007";#N/A,#N/A,TRUE,"PAGE008";#N/A,#N/A,TRUE,"PAGE009";#N/A,#N/A,TRUE,"PAGE010";#N/A,#N/A,TRUE,"PAGE011";#N/A,#N/A,TRUE,"PAGE012";#N/A,#N/A,TRUE,"PAGE013"}</definedName>
    <definedName name="qwe" hidden="1">{#N/A,#N/A,TRUE,"목차";#N/A,#N/A,TRUE,"1.";#N/A,#N/A,TRUE,"2.";#N/A,#N/A,TRUE,"3.";#N/A,#N/A,TRUE,"4-1";#N/A,#N/A,TRUE,"-2";#N/A,#N/A,TRUE,"-3";#N/A,#N/A,TRUE,"-4";#N/A,#N/A,TRUE,"5-1";#N/A,#N/A,TRUE,"5-2";#N/A,#N/A,TRUE,"6-1";#N/A,#N/A,TRUE,"6-2";#N/A,#N/A,TRUE,"7-1";#N/A,#N/A,TRUE,"7-2";#N/A,#N/A,TRUE,"8.";#N/A,#N/A,TRUE,"9."}</definedName>
    <definedName name="qweqe" hidden="1">{#N/A,#N/A,TRUE,"목차";#N/A,#N/A,TRUE,"1.";#N/A,#N/A,TRUE,"2.";#N/A,#N/A,TRUE,"3.";#N/A,#N/A,TRUE,"4-1";#N/A,#N/A,TRUE,"-2";#N/A,#N/A,TRUE,"-3";#N/A,#N/A,TRUE,"-4";#N/A,#N/A,TRUE,"5-1";#N/A,#N/A,TRUE,"5-2";#N/A,#N/A,TRUE,"6-1";#N/A,#N/A,TRUE,"6-2";#N/A,#N/A,TRUE,"7-1";#N/A,#N/A,TRUE,"7-2";#N/A,#N/A,TRUE,"8.";#N/A,#N/A,TRUE,"9."}</definedName>
    <definedName name="qyk" hidden="1">{"'용역비'!$A$4:$C$8"}</definedName>
    <definedName name="RDF" hidden="1">{"'매출계획'!$D$2"}</definedName>
    <definedName name="ret" hidden="1">{"'매출계획'!$D$2"}</definedName>
    <definedName name="review" hidden="1">{#N/A,#N/A,TRUE,"LOADCOVE";#N/A,#N/A,TRUE,"PAGE001";#N/A,#N/A,TRUE,"PAGE002";#N/A,#N/A,TRUE,"PAGE003";#N/A,#N/A,TRUE,"PAGE004";#N/A,#N/A,TRUE,"PAGE005";#N/A,#N/A,TRUE,"PAGE006";#N/A,#N/A,TRUE,"PAGE007";#N/A,#N/A,TRUE,"PAGE008";#N/A,#N/A,TRUE,"PAGE009";#N/A,#N/A,TRUE,"PAGE010";#N/A,#N/A,TRUE,"PAGE011";#N/A,#N/A,TRUE,"PAGE012";#N/A,#N/A,TRUE,"PAGE013"}</definedName>
    <definedName name="rewqr" hidden="1">{#N/A,#N/A,TRUE,"목차";#N/A,#N/A,TRUE,"1.";#N/A,#N/A,TRUE,"2.";#N/A,#N/A,TRUE,"3.";#N/A,#N/A,TRUE,"4-1";#N/A,#N/A,TRUE,"-2";#N/A,#N/A,TRUE,"-3";#N/A,#N/A,TRUE,"-4";#N/A,#N/A,TRUE,"5-1";#N/A,#N/A,TRUE,"5-2";#N/A,#N/A,TRUE,"6-1";#N/A,#N/A,TRUE,"6-2";#N/A,#N/A,TRUE,"7-1";#N/A,#N/A,TRUE,"7-2";#N/A,#N/A,TRUE,"8.";#N/A,#N/A,TRUE,"9."}</definedName>
    <definedName name="RH" hidden="1">{"'매출계획'!$D$2"}</definedName>
    <definedName name="RHDEJD" hidden="1">{"'매출계획'!$D$2"}</definedName>
    <definedName name="RHDTN" hidden="1">{#N/A,#N/A,TRUE,"목차";#N/A,#N/A,TRUE,"1.";#N/A,#N/A,TRUE,"2.";#N/A,#N/A,TRUE,"3.";#N/A,#N/A,TRUE,"4-1";#N/A,#N/A,TRUE,"-2";#N/A,#N/A,TRUE,"-3";#N/A,#N/A,TRUE,"-4";#N/A,#N/A,TRUE,"5-1";#N/A,#N/A,TRUE,"5-2";#N/A,#N/A,TRUE,"6-1";#N/A,#N/A,TRUE,"6-2";#N/A,#N/A,TRUE,"7-1";#N/A,#N/A,TRUE,"7-2";#N/A,#N/A,TRUE,"8.";#N/A,#N/A,TRUE,"9."}</definedName>
    <definedName name="RiskAfterRecalcMacro" hidden="1">""</definedName>
    <definedName name="RiskAfterSimMacro" hidden="1">""</definedName>
    <definedName name="RiskBeforeRecalcMacro" hidden="1">""</definedName>
    <definedName name="RiskBeforeSimMacro" hidden="1">""</definedName>
    <definedName name="RiskMultipleCPUSupportEnabled" hidden="1">TRUE</definedName>
    <definedName name="RiskUseMultipleCPUs" hidden="1">TRUE</definedName>
    <definedName name="rkrhd2" hidden="1">{"'매출계획'!$D$2"}</definedName>
    <definedName name="rkrk" hidden="1">{"'매출계획'!$D$2"}</definedName>
    <definedName name="RL" hidden="1">{#N/A,#N/A,TRUE,"목차";#N/A,#N/A,TRUE,"1.";#N/A,#N/A,TRUE,"2.";#N/A,#N/A,TRUE,"3.";#N/A,#N/A,TRUE,"4-1";#N/A,#N/A,TRUE,"-2";#N/A,#N/A,TRUE,"-3";#N/A,#N/A,TRUE,"-4";#N/A,#N/A,TRUE,"5-1";#N/A,#N/A,TRUE,"5-2";#N/A,#N/A,TRUE,"6-1";#N/A,#N/A,TRUE,"6-2";#N/A,#N/A,TRUE,"7-1";#N/A,#N/A,TRUE,"7-2";#N/A,#N/A,TRUE,"8.";#N/A,#N/A,TRUE,"9."}</definedName>
    <definedName name="RLRp"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oad" hidden="1">{#N/A,#N/A,TRUE,"목차";#N/A,#N/A,TRUE,"1.";#N/A,#N/A,TRUE,"2.";#N/A,#N/A,TRUE,"3.";#N/A,#N/A,TRUE,"4-1";#N/A,#N/A,TRUE,"-2";#N/A,#N/A,TRUE,"-3";#N/A,#N/A,TRUE,"-4";#N/A,#N/A,TRUE,"5-1";#N/A,#N/A,TRUE,"5-2";#N/A,#N/A,TRUE,"6-1";#N/A,#N/A,TRUE,"6-2";#N/A,#N/A,TRUE,"7-1";#N/A,#N/A,TRUE,"7-2";#N/A,#N/A,TRUE,"8.";#N/A,#N/A,TRUE,"9."}</definedName>
    <definedName name="ROTJS" hidden="1">{"'매출계획'!$D$2"}</definedName>
    <definedName name="RRR" hidden="1">{"'호선별현황(방식)'!$K$22:$P$22","'호선별현황(방식)'!$K$22:$P$22"}</definedName>
    <definedName name="rth" hidden="1">{"'용역비'!$A$4:$C$8"}</definedName>
    <definedName name="rwyw" hidden="1">{"'매출계획'!$D$2"}</definedName>
    <definedName name="ryuk" hidden="1">{"'용역비'!$A$4:$C$8"}</definedName>
    <definedName name="S.1.4.3" hidden="1">{"Edition",#N/A,FALSE,"Data"}</definedName>
    <definedName name="SAAAAAAA" hidden="1">{"'매출계획'!$D$2"}</definedName>
    <definedName name="sad" hidden="1">{"'매출계획'!$D$2"}</definedName>
    <definedName name="Sal" hidden="1">{#N/A,#N/A,TRUE,"835";#N/A,#N/A,TRUE,"220";#N/A,#N/A,TRUE,"SAG";#N/A,#N/A,TRUE,"605";#N/A,#N/A,TRUE,"665";#N/A,#N/A,TRUE,"210";#N/A,#N/A,TRUE,"GERAL";#N/A,#N/A,TRUE,"DEPCONC";#N/A,#N/A,TRUE,"TRAV";#N/A,#N/A,TRUE,"310";#N/A,#N/A,TRUE,"315";#N/A,#N/A,TRUE,"305";#N/A,#N/A,TRUE,"BAL";#N/A,#N/A,TRUE,"301";#N/A,#N/A,TRUE,"520";#N/A,#N/A,TRUE,"830"}</definedName>
    <definedName name="SANG" hidden="1">{#N/A,#N/A,TRUE,"LOADCOVE";#N/A,#N/A,TRUE,"PAGE001";#N/A,#N/A,TRUE,"PAGE002";#N/A,#N/A,TRUE,"PAGE003";#N/A,#N/A,TRUE,"PAGE004";#N/A,#N/A,TRUE,"PAGE005";#N/A,#N/A,TRUE,"PAGE006";#N/A,#N/A,TRUE,"PAGE007";#N/A,#N/A,TRUE,"PAGE008";#N/A,#N/A,TRUE,"PAGE009";#N/A,#N/A,TRUE,"PAGE010";#N/A,#N/A,TRUE,"PAGE011";#N/A,#N/A,TRUE,"PAGE012";#N/A,#N/A,TRUE,"PAGE013"}</definedName>
    <definedName name="SAPBEXrevision" hidden="1">13</definedName>
    <definedName name="SAPBEXsysID" hidden="1">"BWP"</definedName>
    <definedName name="SAPBEXwbID" hidden="1">"400FHW9ZUXMFXG7HCE9G1PD8O"</definedName>
    <definedName name="sasda" hidden="1">{"'호선별현황(방식)'!$K$22:$P$22","'호선별현황(방식)'!$K$22:$P$22"}</definedName>
    <definedName name="sdd" hidden="1">{"'호선별현황(방식)'!$K$22:$P$22","'호선별현황(방식)'!$K$22:$P$22"}</definedName>
    <definedName name="SDFG" hidden="1">{"'매출계획'!$D$2"}</definedName>
    <definedName name="SDGF" hidden="1">{#N/A,#N/A,TRUE,"목차";#N/A,#N/A,TRUE,"1.";#N/A,#N/A,TRUE,"2.";#N/A,#N/A,TRUE,"3.";#N/A,#N/A,TRUE,"4-1";#N/A,#N/A,TRUE,"-2";#N/A,#N/A,TRUE,"-3";#N/A,#N/A,TRUE,"-4";#N/A,#N/A,TRUE,"5-1";#N/A,#N/A,TRUE,"5-2";#N/A,#N/A,TRUE,"6-1";#N/A,#N/A,TRUE,"6-2";#N/A,#N/A,TRUE,"7-1";#N/A,#N/A,TRUE,"7-2";#N/A,#N/A,TRUE,"8.";#N/A,#N/A,TRUE,"9."}</definedName>
    <definedName name="SDKR" hidden="1">{#N/A,#N/A,TRUE,"LOADCOVE";#N/A,#N/A,TRUE,"PAGE001";#N/A,#N/A,TRUE,"PAGE002";#N/A,#N/A,TRUE,"PAGE003";#N/A,#N/A,TRUE,"PAGE004";#N/A,#N/A,TRUE,"PAGE005";#N/A,#N/A,TRUE,"PAGE006";#N/A,#N/A,TRUE,"PAGE007";#N/A,#N/A,TRUE,"PAGE008";#N/A,#N/A,TRUE,"PAGE009";#N/A,#N/A,TRUE,"PAGE010";#N/A,#N/A,TRUE,"PAGE011";#N/A,#N/A,TRUE,"PAGE012";#N/A,#N/A,TRUE,"PAGE013"}</definedName>
    <definedName name="SDRH" hidden="1">{"'매출계획'!$D$2"}</definedName>
    <definedName name="sdryhj" hidden="1">{"'용역비'!$A$4:$C$8"}</definedName>
    <definedName name="seno2" hidden="1">{#N/A,#N/A,TRUE,"LOADCOVE";#N/A,#N/A,TRUE,"PAGE001";#N/A,#N/A,TRUE,"PAGE002";#N/A,#N/A,TRUE,"PAGE003";#N/A,#N/A,TRUE,"PAGE004";#N/A,#N/A,TRUE,"PAGE005";#N/A,#N/A,TRUE,"PAGE006";#N/A,#N/A,TRUE,"PAGE007";#N/A,#N/A,TRUE,"PAGE008";#N/A,#N/A,TRUE,"PAGE009";#N/A,#N/A,TRUE,"PAGE010";#N/A,#N/A,TRUE,"PAGE011";#N/A,#N/A,TRUE,"PAGE012";#N/A,#N/A,TRUE,"PAGE013"}</definedName>
    <definedName name="SEP" hidden="1">{"'장비'!$A$3:$M$12"}</definedName>
    <definedName name="SERG" hidden="1">{"'매출계획'!$D$2"}</definedName>
    <definedName name="SFGDF" hidden="1">{"'매출계획'!$D$2"}</definedName>
    <definedName name="SGR" hidden="1">{"'매출계획'!$D$2"}</definedName>
    <definedName name="sheet1" hidden="1">{#N/A,#N/A,TRUE,"LOADCOVE";#N/A,#N/A,TRUE,"PAGE001";#N/A,#N/A,TRUE,"PAGE002";#N/A,#N/A,TRUE,"PAGE003";#N/A,#N/A,TRUE,"PAGE004";#N/A,#N/A,TRUE,"PAGE005";#N/A,#N/A,TRUE,"PAGE006";#N/A,#N/A,TRUE,"PAGE007";#N/A,#N/A,TRUE,"PAGE008";#N/A,#N/A,TRUE,"PAGE009";#N/A,#N/A,TRUE,"PAGE010";#N/A,#N/A,TRUE,"PAGE011";#N/A,#N/A,TRUE,"PAGE012";#N/A,#N/A,TRUE,"PAGE013"}</definedName>
    <definedName name="SHEET100" hidden="1">#REF!</definedName>
    <definedName name="SHF" hidden="1">{"'매출계획'!$D$2"}</definedName>
    <definedName name="SK" hidden="1">{#N/A,#N/A,TRUE,"LOADCOVE";#N/A,#N/A,TRUE,"PAGE001";#N/A,#N/A,TRUE,"PAGE002";#N/A,#N/A,TRUE,"PAGE003";#N/A,#N/A,TRUE,"PAGE004";#N/A,#N/A,TRUE,"PAGE005";#N/A,#N/A,TRUE,"PAGE006";#N/A,#N/A,TRUE,"PAGE007";#N/A,#N/A,TRUE,"PAGE008";#N/A,#N/A,TRUE,"PAGE009";#N/A,#N/A,TRUE,"PAGE010";#N/A,#N/A,TRUE,"PAGE011";#N/A,#N/A,TRUE,"PAGE012";#N/A,#N/A,TRUE,"PAGE013"}</definedName>
    <definedName name="SKI" hidden="1">#REF!</definedName>
    <definedName name="slll" hidden="1">{#N/A,#N/A,FALSE,"부서종합";#N/A,#N/A,FALSE,"DISC종합";#N/A,#N/A,FALSE,"생산1과";#N/A,#N/A,FALSE,"생산2과";#N/A,#N/A,FALSE,"전기계장";#N/A,#N/A,FALSE,"기계";#N/A,#N/A,FALSE,"철의장";#N/A,#N/A,FALSE,"거주구";#N/A,#N/A,FALSE,"HVAC"}</definedName>
    <definedName name="SONG" hidden="1">{#N/A,#N/A,TRUE,"목차";#N/A,#N/A,TRUE,"1.";#N/A,#N/A,TRUE,"2.";#N/A,#N/A,TRUE,"3.";#N/A,#N/A,TRUE,"4-1";#N/A,#N/A,TRUE,"-2";#N/A,#N/A,TRUE,"-3";#N/A,#N/A,TRUE,"-4";#N/A,#N/A,TRUE,"5-1";#N/A,#N/A,TRUE,"5-2";#N/A,#N/A,TRUE,"6-1";#N/A,#N/A,TRUE,"6-2";#N/A,#N/A,TRUE,"7-1";#N/A,#N/A,TRUE,"7-2";#N/A,#N/A,TRUE,"8.";#N/A,#N/A,TRUE,"9."}</definedName>
    <definedName name="SPSP" hidden="1">{"'매출계획'!$D$2"}</definedName>
    <definedName name="srth" hidden="1">{"'용역비'!$A$4:$C$8"}</definedName>
    <definedName name="sss" hidden="1">{"'매출계획'!$D$2"}</definedName>
    <definedName name="structure" hidden="1">{#N/A,#N/A,TRUE,"LOADCOVE";#N/A,#N/A,TRUE,"PAGE001";#N/A,#N/A,TRUE,"PAGE002";#N/A,#N/A,TRUE,"PAGE003";#N/A,#N/A,TRUE,"PAGE004";#N/A,#N/A,TRUE,"PAGE005";#N/A,#N/A,TRUE,"PAGE006";#N/A,#N/A,TRUE,"PAGE007";#N/A,#N/A,TRUE,"PAGE008";#N/A,#N/A,TRUE,"PAGE009";#N/A,#N/A,TRUE,"PAGE010";#N/A,#N/A,TRUE,"PAGE011";#N/A,#N/A,TRUE,"PAGE012";#N/A,#N/A,TRUE,"PAGE013"}</definedName>
    <definedName name="STS" hidden="1">{"'용역비'!$A$4:$C$8"}</definedName>
    <definedName name="SUEZMAX" hidden="1">{#N/A,#N/A,TRUE,"목차";#N/A,#N/A,TRUE,"1.";#N/A,#N/A,TRUE,"2.";#N/A,#N/A,TRUE,"3.";#N/A,#N/A,TRUE,"4-1";#N/A,#N/A,TRUE,"-2";#N/A,#N/A,TRUE,"-3";#N/A,#N/A,TRUE,"-4";#N/A,#N/A,TRUE,"5-1";#N/A,#N/A,TRUE,"5-2";#N/A,#N/A,TRUE,"6-1";#N/A,#N/A,TRUE,"6-2";#N/A,#N/A,TRUE,"7-1";#N/A,#N/A,TRUE,"7-2";#N/A,#N/A,TRUE,"8.";#N/A,#N/A,TRUE,"9."}</definedName>
    <definedName name="Swvu.DETT.._.COSTI." hidden="1">#REF!</definedName>
    <definedName name="Swvu.RIEPIL.." hidden="1">#REF!</definedName>
    <definedName name="SY" hidden="1">{"'매출계획'!$D$2"}</definedName>
    <definedName name="SZ" hidden="1">{"'매출계획'!$D$2"}</definedName>
    <definedName name="T" hidden="1">{"'매출계획'!$D$2"}</definedName>
    <definedName name="teeeere" hidden="1">{#N/A,#N/A,TRUE,"목차";#N/A,#N/A,TRUE,"1.";#N/A,#N/A,TRUE,"2.";#N/A,#N/A,TRUE,"3.";#N/A,#N/A,TRUE,"4-1";#N/A,#N/A,TRUE,"-2";#N/A,#N/A,TRUE,"-3";#N/A,#N/A,TRUE,"-4";#N/A,#N/A,TRUE,"5-1";#N/A,#N/A,TRUE,"5-2";#N/A,#N/A,TRUE,"6-1";#N/A,#N/A,TRUE,"6-2";#N/A,#N/A,TRUE,"7-1";#N/A,#N/A,TRUE,"7-2";#N/A,#N/A,TRUE,"8.";#N/A,#N/A,TRUE,"9."}</definedName>
    <definedName name="temp" hidden="1">{#N/A,#N/A,TRUE,"목차";#N/A,#N/A,TRUE,"1.";#N/A,#N/A,TRUE,"2.";#N/A,#N/A,TRUE,"3.";#N/A,#N/A,TRUE,"4-1";#N/A,#N/A,TRUE,"-2";#N/A,#N/A,TRUE,"-3";#N/A,#N/A,TRUE,"-4";#N/A,#N/A,TRUE,"5-1";#N/A,#N/A,TRUE,"5-2";#N/A,#N/A,TRUE,"6-1";#N/A,#N/A,TRUE,"6-2";#N/A,#N/A,TRUE,"7-1";#N/A,#N/A,TRUE,"7-2";#N/A,#N/A,TRUE,"8.";#N/A,#N/A,TRUE,"9."}</definedName>
    <definedName name="temp1" hidden="1">{#N/A,#N/A,TRUE,"목차";#N/A,#N/A,TRUE,"1.";#N/A,#N/A,TRUE,"2.";#N/A,#N/A,TRUE,"3.";#N/A,#N/A,TRUE,"4-1";#N/A,#N/A,TRUE,"-2";#N/A,#N/A,TRUE,"-3";#N/A,#N/A,TRUE,"-4";#N/A,#N/A,TRUE,"5-1";#N/A,#N/A,TRUE,"5-2";#N/A,#N/A,TRUE,"6-1";#N/A,#N/A,TRUE,"6-2";#N/A,#N/A,TRUE,"7-1";#N/A,#N/A,TRUE,"7-2";#N/A,#N/A,TRUE,"8.";#N/A,#N/A,TRUE,"9."}</definedName>
    <definedName name="temp2" hidden="1">{#N/A,#N/A,TRUE,"목차";#N/A,#N/A,TRUE,"1.";#N/A,#N/A,TRUE,"2.";#N/A,#N/A,TRUE,"3.";#N/A,#N/A,TRUE,"4-1";#N/A,#N/A,TRUE,"-2";#N/A,#N/A,TRUE,"-3";#N/A,#N/A,TRUE,"-4";#N/A,#N/A,TRUE,"5-1";#N/A,#N/A,TRUE,"5-2";#N/A,#N/A,TRUE,"6-1";#N/A,#N/A,TRUE,"6-2";#N/A,#N/A,TRUE,"7-1";#N/A,#N/A,TRUE,"7-2";#N/A,#N/A,TRUE,"8.";#N/A,#N/A,TRUE,"9."}</definedName>
    <definedName name="teteetet" hidden="1">{#N/A,#N/A,TRUE,"목차";#N/A,#N/A,TRUE,"1.";#N/A,#N/A,TRUE,"2.";#N/A,#N/A,TRUE,"3.";#N/A,#N/A,TRUE,"4-1";#N/A,#N/A,TRUE,"-2";#N/A,#N/A,TRUE,"-3";#N/A,#N/A,TRUE,"-4";#N/A,#N/A,TRUE,"5-1";#N/A,#N/A,TRUE,"5-2";#N/A,#N/A,TRUE,"6-1";#N/A,#N/A,TRUE,"6-2";#N/A,#N/A,TRUE,"7-1";#N/A,#N/A,TRUE,"7-2";#N/A,#N/A,TRUE,"8.";#N/A,#N/A,TRUE,"9."}</definedName>
    <definedName name="TFUI" hidden="1">{"'용역비'!$A$4:$C$8"}</definedName>
    <definedName name="THJ" hidden="1">{"'매출계획'!$D$2"}</definedName>
    <definedName name="tjscp" hidden="1">{#N/A,#N/A,TRUE,"목차";#N/A,#N/A,TRUE,"1.";#N/A,#N/A,TRUE,"2.";#N/A,#N/A,TRUE,"3.";#N/A,#N/A,TRUE,"4-1";#N/A,#N/A,TRUE,"-2";#N/A,#N/A,TRUE,"-3";#N/A,#N/A,TRUE,"-4";#N/A,#N/A,TRUE,"5-1";#N/A,#N/A,TRUE,"5-2";#N/A,#N/A,TRUE,"6-1";#N/A,#N/A,TRUE,"6-2";#N/A,#N/A,TRUE,"7-1";#N/A,#N/A,TRUE,"7-2";#N/A,#N/A,TRUE,"8.";#N/A,#N/A,TRUE,"9."}</definedName>
    <definedName name="TKFKD" hidden="1">{#N/A,#N/A,TRUE,"목차";#N/A,#N/A,TRUE,"1.";#N/A,#N/A,TRUE,"2.";#N/A,#N/A,TRUE,"3.";#N/A,#N/A,TRUE,"4-1";#N/A,#N/A,TRUE,"-2";#N/A,#N/A,TRUE,"-3";#N/A,#N/A,TRUE,"-4";#N/A,#N/A,TRUE,"5-1";#N/A,#N/A,TRUE,"5-2";#N/A,#N/A,TRUE,"6-1";#N/A,#N/A,TRUE,"6-2";#N/A,#N/A,TRUE,"7-1";#N/A,#N/A,TRUE,"7-2";#N/A,#N/A,TRUE,"8.";#N/A,#N/A,TRUE,"9."}</definedName>
    <definedName name="total" hidden="1">{#N/A,#N/A,FALSE,"손익계획";#N/A,#N/A,FALSE,"수익계획";#N/A,#N/A,FALSE,"실적분석"}</definedName>
    <definedName name="tretertertert" hidden="1">{#N/A,#N/A,TRUE,"목차";#N/A,#N/A,TRUE,"1.";#N/A,#N/A,TRUE,"2.";#N/A,#N/A,TRUE,"3.";#N/A,#N/A,TRUE,"4-1";#N/A,#N/A,TRUE,"-2";#N/A,#N/A,TRUE,"-3";#N/A,#N/A,TRUE,"-4";#N/A,#N/A,TRUE,"5-1";#N/A,#N/A,TRUE,"5-2";#N/A,#N/A,TRUE,"6-1";#N/A,#N/A,TRUE,"6-2";#N/A,#N/A,TRUE,"7-1";#N/A,#N/A,TRUE,"7-2";#N/A,#N/A,TRUE,"8.";#N/A,#N/A,TRUE,"9."}</definedName>
    <definedName name="tretetetewew" hidden="1">{#N/A,#N/A,TRUE,"목차";#N/A,#N/A,TRUE,"1.";#N/A,#N/A,TRUE,"2.";#N/A,#N/A,TRUE,"3.";#N/A,#N/A,TRUE,"4-1";#N/A,#N/A,TRUE,"-2";#N/A,#N/A,TRUE,"-3";#N/A,#N/A,TRUE,"-4";#N/A,#N/A,TRUE,"5-1";#N/A,#N/A,TRUE,"5-2";#N/A,#N/A,TRUE,"6-1";#N/A,#N/A,TRUE,"6-2";#N/A,#N/A,TRUE,"7-1";#N/A,#N/A,TRUE,"7-2";#N/A,#N/A,TRUE,"8.";#N/A,#N/A,TRUE,"9."}</definedName>
    <definedName name="ttt" hidden="1">{"'장비'!$A$3:$M$12"}</definedName>
    <definedName name="TTTTTTTTTTTT" hidden="1">{"'매출계획'!$D$2"}</definedName>
    <definedName name="tuilol" hidden="1">{"'용역비'!$A$4:$C$8"}</definedName>
    <definedName name="TYJ" hidden="1">{"'용역비'!$A$4:$C$8"}</definedName>
    <definedName name="tyje" hidden="1">{"'용역비'!$A$4:$C$8"}</definedName>
    <definedName name="tyjet" hidden="1">{"'용역비'!$A$4:$C$8"}</definedName>
    <definedName name="tyu" hidden="1">{"'용역비'!$A$4:$C$8"}</definedName>
    <definedName name="ulo" hidden="1">{"'용역비'!$A$4:$C$8"}</definedName>
    <definedName name="UOUOUOUO" hidden="1">{"'매출계획'!$D$2"}</definedName>
    <definedName name="UUU" hidden="1">{#N/A,#N/A,TRUE,"목차";#N/A,#N/A,TRUE,"1.";#N/A,#N/A,TRUE,"2.";#N/A,#N/A,TRUE,"3.";#N/A,#N/A,TRUE,"4-1";#N/A,#N/A,TRUE,"-2";#N/A,#N/A,TRUE,"-3";#N/A,#N/A,TRUE,"-4";#N/A,#N/A,TRUE,"5-1";#N/A,#N/A,TRUE,"5-2";#N/A,#N/A,TRUE,"6-1";#N/A,#N/A,TRUE,"6-2";#N/A,#N/A,TRUE,"7-1";#N/A,#N/A,TRUE,"7-2";#N/A,#N/A,TRUE,"8.";#N/A,#N/A,TRUE,"9."}</definedName>
    <definedName name="V" hidden="1">{"'매출계획'!$D$2"}</definedName>
    <definedName name="VALVE" hidden="1">{#N/A,#N/A,TRUE,"목차";#N/A,#N/A,TRUE,"1.";#N/A,#N/A,TRUE,"2.";#N/A,#N/A,TRUE,"3.";#N/A,#N/A,TRUE,"4-1";#N/A,#N/A,TRUE,"-2";#N/A,#N/A,TRUE,"-3";#N/A,#N/A,TRUE,"-4";#N/A,#N/A,TRUE,"5-1";#N/A,#N/A,TRUE,"5-2";#N/A,#N/A,TRUE,"6-1";#N/A,#N/A,TRUE,"6-2";#N/A,#N/A,TRUE,"7-1";#N/A,#N/A,TRUE,"7-2";#N/A,#N/A,TRUE,"8.";#N/A,#N/A,TRUE,"9."}</definedName>
    <definedName name="VB" hidden="1">{"'매출계획'!$D$2"}</definedName>
    <definedName name="VBHG" hidden="1">{#N/A,#N/A,FALSE,"지침";#N/A,#N/A,FALSE,"환경분석";#N/A,#N/A,FALSE,"Sheet16"}</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LCC" hidden="1">{#N/A,#N/A,TRUE,"목차";#N/A,#N/A,TRUE,"1.";#N/A,#N/A,TRUE,"2.";#N/A,#N/A,TRUE,"3.";#N/A,#N/A,TRUE,"4-1";#N/A,#N/A,TRUE,"-2";#N/A,#N/A,TRUE,"-3";#N/A,#N/A,TRUE,"-4";#N/A,#N/A,TRUE,"5-1";#N/A,#N/A,TRUE,"5-2";#N/A,#N/A,TRUE,"6-1";#N/A,#N/A,TRUE,"6-2";#N/A,#N/A,TRUE,"7-1";#N/A,#N/A,TRUE,"7-2";#N/A,#N/A,TRUE,"8.";#N/A,#N/A,TRUE,"9."}</definedName>
    <definedName name="vnvnvnv" hidden="1">{"'매출계획'!$D$2"}</definedName>
    <definedName name="VS" hidden="1">{"'매출계획'!$D$2"}</definedName>
    <definedName name="V실적" hidden="1">{#N/A,#N/A,TRUE,"LOADCOVE";#N/A,#N/A,TRUE,"PAGE001";#N/A,#N/A,TRUE,"PAGE002";#N/A,#N/A,TRUE,"PAGE003";#N/A,#N/A,TRUE,"PAGE004";#N/A,#N/A,TRUE,"PAGE005";#N/A,#N/A,TRUE,"PAGE006";#N/A,#N/A,TRUE,"PAGE007";#N/A,#N/A,TRUE,"PAGE008";#N/A,#N/A,TRUE,"PAGE009";#N/A,#N/A,TRUE,"PAGE010";#N/A,#N/A,TRUE,"PAGE011";#N/A,#N/A,TRUE,"PAGE012";#N/A,#N/A,TRUE,"PAGE013"}</definedName>
    <definedName name="W" hidden="1">{#N/A,#N/A,TRUE,"목차";#N/A,#N/A,TRUE,"1.";#N/A,#N/A,TRUE,"2.";#N/A,#N/A,TRUE,"3.";#N/A,#N/A,TRUE,"4-1";#N/A,#N/A,TRUE,"-2";#N/A,#N/A,TRUE,"-3";#N/A,#N/A,TRUE,"-4";#N/A,#N/A,TRUE,"5-1";#N/A,#N/A,TRUE,"5-2";#N/A,#N/A,TRUE,"6-1";#N/A,#N/A,TRUE,"6-2";#N/A,#N/A,TRUE,"7-1";#N/A,#N/A,TRUE,"7-2";#N/A,#N/A,TRUE,"8.";#N/A,#N/A,TRUE,"9."}</definedName>
    <definedName name="weightvalue4" hidden="1">{"'장비'!$A$3:$M$12"}</definedName>
    <definedName name="welder" hidden="1">{#N/A,#N/A,TRUE,"LOADCOVE";#N/A,#N/A,TRUE,"PAGE001";#N/A,#N/A,TRUE,"PAGE002";#N/A,#N/A,TRUE,"PAGE003";#N/A,#N/A,TRUE,"PAGE004";#N/A,#N/A,TRUE,"PAGE005";#N/A,#N/A,TRUE,"PAGE006";#N/A,#N/A,TRUE,"PAGE007";#N/A,#N/A,TRUE,"PAGE008";#N/A,#N/A,TRUE,"PAGE009";#N/A,#N/A,TRUE,"PAGE010";#N/A,#N/A,TRUE,"PAGE011";#N/A,#N/A,TRUE,"PAGE012";#N/A,#N/A,TRUE,"PAGE013"}</definedName>
    <definedName name="wjdalsk" hidden="1">{"'매출계획'!$D$2"}</definedName>
    <definedName name="WQ" hidden="1">{#N/A,#N/A,TRUE,"LOADCOVE";#N/A,#N/A,TRUE,"PAGE001";#N/A,#N/A,TRUE,"PAGE002";#N/A,#N/A,TRUE,"PAGE003";#N/A,#N/A,TRUE,"PAGE004";#N/A,#N/A,TRUE,"PAGE005";#N/A,#N/A,TRUE,"PAGE006";#N/A,#N/A,TRUE,"PAGE007";#N/A,#N/A,TRUE,"PAGE008";#N/A,#N/A,TRUE,"PAGE009";#N/A,#N/A,TRUE,"PAGE010";#N/A,#N/A,TRUE,"PAGE011";#N/A,#N/A,TRUE,"PAGE012";#N/A,#N/A,TRUE,"PAGE013"}</definedName>
    <definedName name="WRE" hidden="1">{#N/A,#N/A,TRUE,"목차";#N/A,#N/A,TRUE,"1.";#N/A,#N/A,TRUE,"2.";#N/A,#N/A,TRUE,"3.";#N/A,#N/A,TRUE,"4-1";#N/A,#N/A,TRUE,"-2";#N/A,#N/A,TRUE,"-3";#N/A,#N/A,TRUE,"-4";#N/A,#N/A,TRUE,"5-1";#N/A,#N/A,TRUE,"5-2";#N/A,#N/A,TRUE,"6-1";#N/A,#N/A,TRUE,"6-2";#N/A,#N/A,TRUE,"7-1";#N/A,#N/A,TRUE,"7-2";#N/A,#N/A,TRUE,"8.";#N/A,#N/A,TRUE,"9."}</definedName>
    <definedName name="WRN.95기술개발보고2" hidden="1">{#N/A,#N/A,TRUE,"목차";#N/A,#N/A,TRUE,"1.";#N/A,#N/A,TRUE,"2.";#N/A,#N/A,TRUE,"3.";#N/A,#N/A,TRUE,"4-1";#N/A,#N/A,TRUE,"-2";#N/A,#N/A,TRUE,"-3";#N/A,#N/A,TRUE,"-4";#N/A,#N/A,TRUE,"5-1";#N/A,#N/A,TRUE,"5-2";#N/A,#N/A,TRUE,"6-1";#N/A,#N/A,TRUE,"6-2";#N/A,#N/A,TRUE,"7-1";#N/A,#N/A,TRUE,"7-2";#N/A,#N/A,TRUE,"8.";#N/A,#N/A,TRUE,"9."}</definedName>
    <definedName name="wrn.95기술개발실적보고." hidden="1">{#N/A,#N/A,TRUE,"목차";#N/A,#N/A,TRUE,"1.";#N/A,#N/A,TRUE,"2.";#N/A,#N/A,TRUE,"3.";#N/A,#N/A,TRUE,"4-1";#N/A,#N/A,TRUE,"-2";#N/A,#N/A,TRUE,"-3";#N/A,#N/A,TRUE,"-4";#N/A,#N/A,TRUE,"5-1";#N/A,#N/A,TRUE,"5-2";#N/A,#N/A,TRUE,"6-1";#N/A,#N/A,TRUE,"6-2";#N/A,#N/A,TRUE,"7-1";#N/A,#N/A,TRUE,"7-2";#N/A,#N/A,TRUE,"8.";#N/A,#N/A,TRUE,"9."}</definedName>
    <definedName name="wrn.97." hidden="1">{#N/A,#N/A,FALSE,"지침";#N/A,#N/A,FALSE,"환경분석";#N/A,#N/A,FALSE,"Sheet16"}</definedName>
    <definedName name="WRN.98." hidden="1">{#N/A,#N/A,FALSE,"지침";#N/A,#N/A,FALSE,"환경분석";#N/A,#N/A,FALSE,"Sheet16"}</definedName>
    <definedName name="wrn.GERAL." hidden="1">{#N/A,#N/A,FALSE,"ET-CAPA";#N/A,#N/A,FALSE,"ET-PAG1";#N/A,#N/A,FALSE,"ET-PAG2";#N/A,#N/A,FALSE,"ET-PAG3";#N/A,#N/A,FALSE,"ET-PAG4";#N/A,#N/A,FALSE,"ET-PAG5"}</definedName>
    <definedName name="wrn.manplan." hidden="1">{#N/A,#N/A,FALSE,"DISCI종합";#N/A,#N/A,FALSE,"배관";#N/A,#N/A,FALSE,"전기계장";#N/A,#N/A,FALSE,"기계";#N/A,#N/A,FALSE,"철의장";#N/A,#N/A,FALSE,"거주구";#N/A,#N/A,FALSE,"HVAC"}</definedName>
    <definedName name="wrn.MANPLAN1." hidden="1">{#N/A,#N/A,FALSE,"부서종합";#N/A,#N/A,FALSE,"DISC종합";#N/A,#N/A,FALSE,"생산1과";#N/A,#N/A,FALSE,"생산2과";#N/A,#N/A,FALSE,"전기계장";#N/A,#N/A,FALSE,"기계";#N/A,#N/A,FALSE,"철의장";#N/A,#N/A,FALSE,"거주구";#N/A,#N/A,FALSE,"HVAC"}</definedName>
    <definedName name="wrn.MEDICAO._.05." hidden="1">{#N/A,#N/A,TRUE,"835";#N/A,#N/A,TRUE,"220";#N/A,#N/A,TRUE,"SAG";#N/A,#N/A,TRUE,"605";#N/A,#N/A,TRUE,"665";#N/A,#N/A,TRUE,"210";#N/A,#N/A,TRUE,"GERAL";#N/A,#N/A,TRUE,"DEPCONC";#N/A,#N/A,TRUE,"TRAV";#N/A,#N/A,TRUE,"310";#N/A,#N/A,TRUE,"315";#N/A,#N/A,TRUE,"305";#N/A,#N/A,TRUE,"BAL";#N/A,#N/A,TRUE,"301";#N/A,#N/A,TRUE,"520";#N/A,#N/A,TRUE,"830"}</definedName>
    <definedName name="wrn.PENDENCIAS." hidden="1">{#N/A,#N/A,FALSE,"GERAL";#N/A,#N/A,FALSE,"012-96";#N/A,#N/A,FALSE,"018-96";#N/A,#N/A,FALSE,"027-96";#N/A,#N/A,FALSE,"059-96";#N/A,#N/A,FALSE,"076-96";#N/A,#N/A,FALSE,"019-97";#N/A,#N/A,FALSE,"021-97";#N/A,#N/A,FALSE,"022-97";#N/A,#N/A,FALSE,"028-97"}</definedName>
    <definedName name="wrn.PENDENCIAS._1" hidden="1">{#N/A,#N/A,FALSE,"GERAL";#N/A,#N/A,FALSE,"012-96";#N/A,#N/A,FALSE,"018-96";#N/A,#N/A,FALSE,"027-96";#N/A,#N/A,FALSE,"059-96";#N/A,#N/A,FALSE,"076-96";#N/A,#N/A,FALSE,"019-97";#N/A,#N/A,FALSE,"021-97";#N/A,#N/A,FALSE,"022-97";#N/A,#N/A,FALSE,"028-97"}</definedName>
    <definedName name="wrn.testrpt." hidden="1">{"Edition",#N/A,FALSE,"Data"}</definedName>
    <definedName name="wrn.담당조직별._.수익계획." hidden="1">{#N/A,#N/A,FALSE,"손익계획";#N/A,#N/A,FALSE,"수익계획";#N/A,#N/A,FALSE,"실적분석"}</definedName>
    <definedName name="wrn.ㅂㅂㅂ." hidden="1">{#N/A,#N/A,TRUE,"보수내용"}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업체별._.견적공사명." hidden="1">{"SJ - 기본 보기",#N/A,FALSE,"공사별 외주견적"}</definedName>
    <definedName name="wrn.운영과1차종합." hidden="1">{#N/A,#N/A,FALSE,"MACH.";#N/A,#N/A,FALSE,"WELD";#N/A,#N/A,FALSE,"HEAVY";#N/A,#N/A,FALSE,"JIG";#N/A,#N/A,FALSE,"SAFETY";#N/A,#N/A,FALSE,"MAINT.";#N/A,#N/A,FALSE,"TOOL";#N/A,#N/A,FALSE,"MEAS.";#N/A,#N/A,FALSE,"OA";#N/A,#N/A,FALSE,"OFFICE";#N/A,#N/A,FALSE,"종합";#N/A,#N/A,FALSE,"표지"}</definedName>
    <definedName name="wrn.장기실천."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wrn.철골집계표._.5칸." hidden="1">{#N/A,#N/A,FALSE,"Sheet1"}</definedName>
    <definedName name="wrty" hidden="1">{"'용역비'!$A$4:$C$8"}</definedName>
    <definedName name="wrtyrtyrt" hidden="1">{"'용역비'!$A$4:$C$8"}</definedName>
    <definedName name="wrtywrtywr" hidden="1">{"'용역비'!$A$4:$C$8"}</definedName>
    <definedName name="wuy" hidden="1">{"'용역비'!$A$4:$C$8"}</definedName>
    <definedName name="www" hidden="1">{#N/A,#N/A,TRUE,"LOADCOVE";#N/A,#N/A,TRUE,"PAGE001";#N/A,#N/A,TRUE,"PAGE002";#N/A,#N/A,TRUE,"PAGE003";#N/A,#N/A,TRUE,"PAGE004";#N/A,#N/A,TRUE,"PAGE005";#N/A,#N/A,TRUE,"PAGE006";#N/A,#N/A,TRUE,"PAGE007";#N/A,#N/A,TRUE,"PAGE008";#N/A,#N/A,TRUE,"PAGE009";#N/A,#N/A,TRUE,"PAGE010";#N/A,#N/A,TRUE,"PAGE011";#N/A,#N/A,TRUE,"PAGE012";#N/A,#N/A,TRUE,"PAGE013"}</definedName>
    <definedName name="XC" hidden="1">{"'매출계획'!$D$2"}</definedName>
    <definedName name="xcxcxcxcxcxc" hidden="1">{"'매출계획'!$D$2"}</definedName>
    <definedName name="xkxk" hidden="1">{"'매출계획'!$D$2"}</definedName>
    <definedName name="XLS" hidden="1">{"'매출계획'!$D$2"}</definedName>
    <definedName name="xxa" hidden="1">{#N/A,#N/A,TRUE,"LOADCOVE";#N/A,#N/A,TRUE,"PAGE001";#N/A,#N/A,TRUE,"PAGE002";#N/A,#N/A,TRUE,"PAGE003";#N/A,#N/A,TRUE,"PAGE004";#N/A,#N/A,TRUE,"PAGE005";#N/A,#N/A,TRUE,"PAGE006";#N/A,#N/A,TRUE,"PAGE007";#N/A,#N/A,TRUE,"PAGE008";#N/A,#N/A,TRUE,"PAGE009";#N/A,#N/A,TRUE,"PAGE010";#N/A,#N/A,TRUE,"PAGE011";#N/A,#N/A,TRUE,"PAGE012";#N/A,#N/A,TRUE,"PAGE013"}</definedName>
    <definedName name="xxxxxx" hidden="1">{#N/A,#N/A,TRUE,"목차";#N/A,#N/A,TRUE,"1.";#N/A,#N/A,TRUE,"2.";#N/A,#N/A,TRUE,"3.";#N/A,#N/A,TRUE,"4-1";#N/A,#N/A,TRUE,"-2";#N/A,#N/A,TRUE,"-3";#N/A,#N/A,TRUE,"-4";#N/A,#N/A,TRUE,"5-1";#N/A,#N/A,TRUE,"5-2";#N/A,#N/A,TRUE,"6-1";#N/A,#N/A,TRUE,"6-2";#N/A,#N/A,TRUE,"7-1";#N/A,#N/A,TRUE,"7-2";#N/A,#N/A,TRUE,"8.";#N/A,#N/A,TRUE,"9."}</definedName>
    <definedName name="YFU" hidden="1">{"'용역비'!$A$4:$C$8"}</definedName>
    <definedName name="yu" hidden="1">{"'용역비'!$A$4:$C$8"}</definedName>
    <definedName name="YUK" hidden="1">{"'용역비'!$A$4:$C$8"}</definedName>
    <definedName name="yyyy2" hidden="1">{#N/A,#N/A,TRUE,"LOADCOVE";#N/A,#N/A,TRUE,"PAGE001";#N/A,#N/A,TRUE,"PAGE002";#N/A,#N/A,TRUE,"PAGE003";#N/A,#N/A,TRUE,"PAGE004";#N/A,#N/A,TRUE,"PAGE005";#N/A,#N/A,TRUE,"PAGE006";#N/A,#N/A,TRUE,"PAGE007";#N/A,#N/A,TRUE,"PAGE008";#N/A,#N/A,TRUE,"PAGE009";#N/A,#N/A,TRUE,"PAGE010";#N/A,#N/A,TRUE,"PAGE011";#N/A,#N/A,TRUE,"PAGE012";#N/A,#N/A,TRUE,"PAGE013"}</definedName>
    <definedName name="YYYYQ" hidden="1">{"'매출계획'!$D$2"}</definedName>
    <definedName name="YYYYYYYYYYYYYYYYYYYYYYYYYYYYYYYYYYYYYYYYYYYYYYYYYYYYYYYYYYYYYYYYYYYYYYYYYYYYYYYYYYYYYYYYYYYYYYYYYYYYYYYYYYYYYYYYYYYYYYYYYYYYYYYYYYYYYYYYYYYYYYYYYYYYYYYYYYYYYYYYYYYYYYYYYYYYYYYYYYYYYYYYYYYYYYYYYYYYYYYYYYYYYYYYYYYYYYYYYYYYYYYYYYYYYYYYYYYYYYYYYYYYYYYYYYYYYYY" hidden="1">{"'호선별현황(방식)'!$K$22:$P$22","'호선별현황(방식)'!$K$22:$P$22"}</definedName>
    <definedName name="Z_00A58982_8747_4792_9CB7_1C617FE1CA33_.wvu.FilterData" hidden="1">#REF!</definedName>
    <definedName name="Z_01F70695_EF81_4EA3_8506_6CE10453B14F_.wvu.FilterData" hidden="1">#REF!</definedName>
    <definedName name="Z_048924CE_4A41_4D57_B517_E5D7CE913CD8_.wvu.FilterData" hidden="1">#REF!</definedName>
    <definedName name="Z_04CF1E04_6C90_11D6_96F8_00B0D0220544_.wvu.FilterData" hidden="1">#REF!</definedName>
    <definedName name="Z_04CF1E04_6C90_11D6_96F8_00B0D0220544_.wvu.PrintArea" hidden="1">#REF!</definedName>
    <definedName name="Z_04CF1E04_6C90_11D6_96F8_00B0D0220544_.wvu.PrintTitles" hidden="1">#REF!</definedName>
    <definedName name="Z_04EDED51_FD09_4F67_A40C_CF5E30E6197A_.wvu.FilterData" hidden="1">#REF!</definedName>
    <definedName name="Z_0507D82B_D7CF_4A0A_B44F_3715AF2B14EE_.wvu.FilterData" hidden="1">#REF!</definedName>
    <definedName name="Z_05C7A5CC_FDCE_42EA_9154_5A7447091A92_.wvu.FilterData" hidden="1">#REF!</definedName>
    <definedName name="Z_05D6BEC9_D22A_4450_A973_89388D4233FA_.wvu.FilterData" hidden="1">#REF!</definedName>
    <definedName name="Z_06C88637_96C6_4552_AC8D_0FEA28B52976_.wvu.FilterData" hidden="1">#REF!</definedName>
    <definedName name="Z_0860F523_5A81_4EBC_A6DF_343B3F53BA85_.wvu.FilterData" hidden="1">#REF!</definedName>
    <definedName name="Z_08DAC9C6_3D76_4C09_9E08_37CA272765BB_.wvu.FilterData" hidden="1">#REF!</definedName>
    <definedName name="Z_08DD3141_F0A9_4BAB_8EE7_566D1DB24297_.wvu.FilterData" hidden="1">#REF!</definedName>
    <definedName name="Z_09CC004E_F690_4604_9A2E_BAEC55A77B09_.wvu.FilterData" hidden="1">#REF!</definedName>
    <definedName name="Z_0A1BE5EE_905E_4427_BB90_5AD9EBA66D57_.wvu.FilterData" hidden="1">#REF!</definedName>
    <definedName name="Z_10AF5E30_D836_4DFF_9EEB_DC26F0D09C0B_.wvu.FilterData" hidden="1">#REF!</definedName>
    <definedName name="Z_1176CE0D_0ED5_4408_B669_289B01FAD9B7_.wvu.FilterData" hidden="1">#REF!</definedName>
    <definedName name="Z_11A4080A_39C4_4EC2_AD6B_4DF6FCACC028_.wvu.FilterData" hidden="1">#REF!</definedName>
    <definedName name="Z_1241C127_2663_4C44_A2C8_A197FCCA33A3_.wvu.FilterData" hidden="1">#REF!</definedName>
    <definedName name="Z_129DB2D1_88B7_4A5C_8282_6923973F2EDB_.wvu.FilterData" hidden="1">#REF!</definedName>
    <definedName name="Z_1303194E_1E9F_4E79_845D_2102788D92E7_.wvu.FilterData" hidden="1">#REF!</definedName>
    <definedName name="Z_1318DEA1_1333_4DF7_B314_D3AE514FF836_.wvu.FilterData" hidden="1">#REF!</definedName>
    <definedName name="Z_158A08A9_D958_4061_BD14_B7B2E8757B48_.wvu.FilterData" hidden="1">#REF!</definedName>
    <definedName name="Z_15F48AC4_18F5_41E3_AA07_495DEF73315C_.wvu.FilterData" hidden="1">#REF!</definedName>
    <definedName name="Z_183531AC_A026_4E06_AD1F_F47D1D7E6BD7_.wvu.FilterData" hidden="1">#REF!</definedName>
    <definedName name="Z_1851B3C8_3494_4F21_A869_C13C773D98AD_.wvu.FilterData" hidden="1">#REF!</definedName>
    <definedName name="Z_19174A6F_3AB1_4211_B0C3_65A24786461E_.wvu.FilterData" hidden="1">#REF!</definedName>
    <definedName name="Z_19245CDE_122D_46D2_86E5_A2A7E089D879_.wvu.FilterData" hidden="1">#REF!</definedName>
    <definedName name="Z_19571752_5935_4F7A_85EB_430ED08F08B5_.wvu.FilterData" hidden="1">#REF!</definedName>
    <definedName name="Z_19BF91A3_4BDB_4F5F_8C2F_401D566BB47D_.wvu.FilterData" hidden="1">#REF!</definedName>
    <definedName name="Z_1DEE93A2_EDEB_4B88_AE2D_E5E1E16E4CAE_.wvu.FilterData" hidden="1">#REF!</definedName>
    <definedName name="Z_1F0F9845_5E17_445B_A2B4_58EF75515B3C_.wvu.FilterData" hidden="1">#REF!</definedName>
    <definedName name="Z_200FDB6E_9FCC_48CC_BD5C_D9190204B642_.wvu.FilterData" hidden="1">#REF!</definedName>
    <definedName name="Z_209F5544_16C0_4D83_B372_9C5191B4D811_.wvu.FilterData" hidden="1">#REF!</definedName>
    <definedName name="Z_220FD7C2_ABA2_4666_BF74_F9443E7176E5_.wvu.FilterData" hidden="1">#REF!</definedName>
    <definedName name="Z_230699FB_CE1D_4844_B198_F1594DB5BC3A_.wvu.FilterData" hidden="1">#REF!</definedName>
    <definedName name="Z_2390F1E4_C26C_4173_A72E_6055E231827B_.wvu.Cols" hidden="1">#REF!,#REF!,#REF!,#REF!,#REF!</definedName>
    <definedName name="Z_2390F1E4_C26C_4173_A72E_6055E231827B_.wvu.FilterData" hidden="1">#REF!</definedName>
    <definedName name="Z_241AA930_00B1_42D3_9CFF_C95C9DD729A6_.wvu.FilterData" hidden="1">#REF!</definedName>
    <definedName name="Z_25156737_F375_4085_90C5_BB6DA48123AB_.wvu.FilterData" hidden="1">#REF!</definedName>
    <definedName name="Z_2600FECA_2496_41A1_B1CC_BF7E169BE8B6_.wvu.FilterData" hidden="1">#REF!</definedName>
    <definedName name="Z_27E85FB4_B517_4DC4_9039_EF07C9E673A7_.wvu.FilterData" hidden="1">#REF!</definedName>
    <definedName name="Z_2816B571_56EA_463D_A901_377D056FC11C_.wvu.FilterData" hidden="1">#REF!</definedName>
    <definedName name="Z_28D7492E_759E_4259_ADB8_E067811C9387_.wvu.FilterData" hidden="1">#REF!</definedName>
    <definedName name="Z_2962CC9C_A887_477E_9BBE_93B65DFC3DBF_.wvu.FilterData" hidden="1">#REF!</definedName>
    <definedName name="Z_299BF964_7E39_41BA_9F8B_B2EA6F02F15A_.wvu.FilterData" hidden="1">#REF!</definedName>
    <definedName name="Z_2A7B5C7E_1810_4482_84B8_C5F0D521F9C8_.wvu.FilterData" hidden="1">#REF!</definedName>
    <definedName name="Z_2B69F8F8_863B_4034_8F6F_8FBD1C2D57B7_.wvu.FilterData" hidden="1">#REF!</definedName>
    <definedName name="Z_2D40A72F_6C60_4E9B_80AD_677EF58090C8_.wvu.FilterData" hidden="1">#REF!</definedName>
    <definedName name="Z_2E0A5F64_A461_49D4_B3F2_305E2812EAFA_.wvu.FilterData" hidden="1">#REF!</definedName>
    <definedName name="Z_30A60951_BF36_496F_8B6C_88C3F5706215_.wvu.FilterData" hidden="1">#REF!</definedName>
    <definedName name="Z_319D5A98_B64C_47E9_A222_0F3286186709_.wvu.FilterData" hidden="1">#REF!</definedName>
    <definedName name="Z_371E2F91_26BC_4118_B4F3_4A22F3713EDD_.wvu.FilterData" hidden="1">#REF!</definedName>
    <definedName name="Z_38158F10_6986_4C67_ADB3_65BD3284CD71_.wvu.FilterData" hidden="1">#REF!</definedName>
    <definedName name="Z_3963E871_A074_4995_BEEF_E41680347C9A_.wvu.FilterData" hidden="1">#REF!</definedName>
    <definedName name="Z_396BB2AD_1FC6_4F0F_9A0B_0D3CA26AFB32_.wvu.FilterData" hidden="1">#REF!</definedName>
    <definedName name="Z_3A16722C_BA40_45C2_8D96_CF7C028BE2DD_.wvu.FilterData" hidden="1">#REF!</definedName>
    <definedName name="Z_3D55BBCB_47E7_4252_9A3D_89C93C0CD5AE_.wvu.FilterData" hidden="1">#REF!</definedName>
    <definedName name="Z_3D9DD7CD_2D01_4A9B_8E03_42180660748A_.wvu.FilterData" hidden="1">#REF!</definedName>
    <definedName name="Z_3E898ACC_8BA0_4247_9A0C_1C9DBF20F4DD_.wvu.FilterData" hidden="1">#REF!</definedName>
    <definedName name="Z_40AEB0CA_2C87_4716_B4A6_DAB9C83EE678_.wvu.FilterData" hidden="1">#REF!</definedName>
    <definedName name="Z_40BCAD97_72CB_4FF3_884F_B91EA6E41CC9_.wvu.FilterData" hidden="1">#REF!</definedName>
    <definedName name="Z_41803E1C_3049_4F14_B9F4_533B57BEDDBB_.wvu.FilterData" hidden="1">#REF!</definedName>
    <definedName name="Z_428E65B4_C572_42BA_A4F8_BF633BCE1A1A_.wvu.FilterData" hidden="1">#REF!</definedName>
    <definedName name="Z_42F9E5A7_DA1D_4790_A31B_CD475C8FBC05_.wvu.FilterData" hidden="1">#REF!</definedName>
    <definedName name="Z_4407D537_EE05_462C_8448_905D86354C2F_.wvu.FilterData" hidden="1">#REF!</definedName>
    <definedName name="Z_441FBA64_2ED4_439A_9931_FD5325471CB5_.wvu.FilterData" hidden="1">#REF!</definedName>
    <definedName name="Z_4913E218_72CF_4E1C_A168_65B1E1954E6D_.wvu.FilterData" hidden="1">#REF!</definedName>
    <definedName name="Z_4B3783F5_8FAF_48D3_8C6B_115B7A13CFC7_.wvu.FilterData" hidden="1">#REF!</definedName>
    <definedName name="Z_4B98157C_51A4_405F_A65C_ABD047AADD65_.wvu.FilterData" hidden="1">#REF!</definedName>
    <definedName name="Z_4BA9C53F_03DB_4E54_BF43_951F0877F676_.wvu.FilterData" hidden="1">#REF!</definedName>
    <definedName name="Z_4BC52805_C268_44D7_993C_41FC12BC0FC5_.wvu.FilterData" hidden="1">#REF!</definedName>
    <definedName name="Z_4CDEC446_F7B6_450C_8370_43C8899EF20A_.wvu.FilterData" hidden="1">#REF!</definedName>
    <definedName name="Z_4D94689C_A7CE_4392_8F51_08DA34337C56_.wvu.FilterData" hidden="1">#REF!</definedName>
    <definedName name="Z_4E512765_976E_4A59_9BC4_864B0EA1149C_.wvu.FilterData" hidden="1">#REF!</definedName>
    <definedName name="Z_502D101C_602D_435A_B181_85553DC1027B_.wvu.FilterData" hidden="1">#REF!</definedName>
    <definedName name="Z_52FD7AB4_5A5F_49FB_BBE4_5E8E0F4C75FF_.wvu.FilterData" hidden="1">#REF!</definedName>
    <definedName name="Z_553696BB_596A_4788_AAC8_D253EFC36B78_.wvu.FilterData" hidden="1">#REF!</definedName>
    <definedName name="Z_559A1264_466A_4C24_B0C7_DBE8A2F1ACFC_.wvu.FilterData" hidden="1">#REF!</definedName>
    <definedName name="Z_56054331_B58C_4AC1_AD8C_3EAE3FA5B283_.wvu.FilterData" hidden="1">#REF!</definedName>
    <definedName name="Z_56248E61_29AF_4E5A_B358_FE8E1F6D4F56_.wvu.FilterData" hidden="1">#REF!</definedName>
    <definedName name="Z_578FEF0A_5754_4A6C_B166_831A1EC8E0FF_.wvu.FilterData" hidden="1">#REF!</definedName>
    <definedName name="Z_59143C86_2E43_45A9_9CF3_D9FFC617C09D_.wvu.FilterData" hidden="1">#REF!</definedName>
    <definedName name="Z_596BB19B_1176_4BE3_84F9_F8948475D766_.wvu.FilterData" hidden="1">#REF!</definedName>
    <definedName name="Z_5AE259F1_F8AE_4AE4_ACD9_4DC437E60E59_.wvu.FilterData" hidden="1">#REF!</definedName>
    <definedName name="Z_5B9B003D_45ED_4061_8836_6A4FE49624D7_.wvu.FilterData" hidden="1">#REF!</definedName>
    <definedName name="Z_5C2085D7_C1A2_4CEE_8F69_E5A6FD40FFFE_.wvu.FilterData" hidden="1">#REF!</definedName>
    <definedName name="Z_5C91FC99_38AC_4998_B512_5387AB2279F5_.wvu.FilterData" hidden="1">#REF!</definedName>
    <definedName name="Z_5F460B66_46A7_4CDA_8091_28E622442D35_.wvu.FilterData" hidden="1">#REF!</definedName>
    <definedName name="Z_5F491A33_242E_4149_A2EB_6A670AAE831E_.wvu.FilterData" hidden="1">#REF!</definedName>
    <definedName name="Z_6165310B_6D52_4753_8A7C_326E465ECD34_.wvu.FilterData" hidden="1">#REF!</definedName>
    <definedName name="Z_61AE3D70_AB4B_43F6_919E_A5B7FA61F4B0_.wvu.FilterData" hidden="1">#REF!</definedName>
    <definedName name="Z_6226E5EA_C40A_4735_94DD_4C845E6B27C1_.wvu.FilterData" hidden="1">#REF!</definedName>
    <definedName name="Z_62654CB7_156D_4B38_971C_E690EE8A2324_.wvu.FilterData" hidden="1">#REF!</definedName>
    <definedName name="Z_62E9542D_D5BF_4E84_BA7A_14C31F51D915_.wvu.FilterData" hidden="1">#REF!</definedName>
    <definedName name="Z_64782303_2F75_4B72_94EA_302F78DC78EF_.wvu.FilterData" hidden="1">#REF!</definedName>
    <definedName name="Z_66F5279A_0F95_4CC9_9BF3_5881E6F7214F_.wvu.FilterData" hidden="1">#REF!</definedName>
    <definedName name="Z_67519550_14F3_46CF_9EE3_F88D500E6F6C_.wvu.FilterData" hidden="1">#REF!</definedName>
    <definedName name="Z_6776D76E_1FF5_49BA_B14A_25500C04E418_.wvu.FilterData" hidden="1">#REF!</definedName>
    <definedName name="Z_67F29282_EC15_4F3F_848F_F80BBE0644CD_.wvu.FilterData" hidden="1">#REF!</definedName>
    <definedName name="Z_6AA9D09D_DEAA_46C6_81EE_637871C71237_.wvu.FilterData" hidden="1">#REF!</definedName>
    <definedName name="Z_6B6806B1_6951_48FF_9DC5_E18F87500546_.wvu.FilterData" hidden="1">#REF!</definedName>
    <definedName name="Z_6BA6DC6D_A05F_4915_9BF7_742F576F54E9_.wvu.FilterData" hidden="1">#REF!</definedName>
    <definedName name="Z_6C6BD4BF_06FA_4FF4_A1AF_11ECB06822E2_.wvu.FilterData" hidden="1">#REF!</definedName>
    <definedName name="Z_6C931EE5_5912_4973_8200_40A67FE95284_.wvu.FilterData" hidden="1">#REF!</definedName>
    <definedName name="Z_6DA5AAEB_949E_46E5_8895_0493B16E1D71_.wvu.FilterData" hidden="1">#REF!</definedName>
    <definedName name="Z_6EAAE29F_F96D_47E2_819B_17578F40B581_.wvu.FilterData" hidden="1">#REF!</definedName>
    <definedName name="Z_70231F61_D1B9_4B54_BEC3_E668C88AB1B5_.wvu.FilterData" hidden="1">#REF!</definedName>
    <definedName name="Z_71775F76_46E3_498A_A7F6_550FF0B890F2_.wvu.FilterData" hidden="1">#REF!</definedName>
    <definedName name="Z_72459B8D_BBF5_45B8_9978_1DCA7341C022_.wvu.FilterData" hidden="1">#REF!</definedName>
    <definedName name="Z_775A5094_4930_4C7F_915E_3707C4FA579E_.wvu.FilterData" hidden="1">#REF!</definedName>
    <definedName name="Z_78296AEF_A3BA_4BC8_B7BE_0838498F2ED2_.wvu.FilterData" hidden="1">#REF!</definedName>
    <definedName name="Z_7A40A584_7EAC_47D5_929A_A056E7E060E0_.wvu.FilterData" hidden="1">#REF!</definedName>
    <definedName name="Z_7BB76935_56CA_4EAF_9965_DBC4365BF51F_.wvu.FilterData" hidden="1">#REF!</definedName>
    <definedName name="Z_7C5DE3F4_0BAE_464E_A305_C00407558745_.wvu.FilterData" hidden="1">#REF!</definedName>
    <definedName name="Z_7D181114_DC7E_46E6_8D75_1FB67FF3C78C_.wvu.FilterData" hidden="1">#REF!</definedName>
    <definedName name="Z_7E651C96_AFBB_429F_9F61_BD13FBE399E8_.wvu.FilterData" hidden="1">#REF!</definedName>
    <definedName name="Z_7E9F6B1B_629E_4BBE_8544_70D79C434478_.wvu.FilterData" hidden="1">#REF!</definedName>
    <definedName name="Z_7F92570F_D7EA_4978_B2F9_858537AF5F5B_.wvu.FilterData" hidden="1">#REF!</definedName>
    <definedName name="Z_80D313BB_05D3_4BFB_8AB1_ECF75B583B19_.wvu.FilterData" hidden="1">#REF!</definedName>
    <definedName name="Z_8167CC3D_C3EE_44DE_8A94_E57B22917B30_.wvu.FilterData" hidden="1">#REF!</definedName>
    <definedName name="Z_835F1A3B_1D82_4381_8021_45D5A85184AA_.wvu.FilterData" hidden="1">#REF!</definedName>
    <definedName name="Z_83C44FDE_A784_467C_8749_B966C4EACA62_.wvu.FilterData" hidden="1">#REF!</definedName>
    <definedName name="Z_8591AC49_2702_44C4_AFB2_9862E90634F1_.wvu.FilterData" hidden="1">#REF!</definedName>
    <definedName name="Z_87958A7B_9BF4_48F2_9278_8B15A0E3C724_.wvu.FilterData" hidden="1">#REF!</definedName>
    <definedName name="Z_89288F94_CE1A_4636_A630_DC7ACCD49235_.wvu.FilterData" hidden="1">#REF!</definedName>
    <definedName name="Z_8B7690CC_3F41_428A_B6B2_8D0DFAAE823D_.wvu.FilterData" hidden="1">#REF!</definedName>
    <definedName name="Z_8BCA1B88_2FBF_44DA_BBCA_F88A46F26B41_.wvu.FilterData" hidden="1">#REF!</definedName>
    <definedName name="Z_8C97A0B0_2460_4DF5_ABA7_1209A7D06610_.wvu.FilterData" hidden="1">#REF!</definedName>
    <definedName name="Z_9304E131_497F_494A_BDB7_F9E04E3E798C_.wvu.FilterData" hidden="1">#REF!</definedName>
    <definedName name="Z_93B52325_19B4_431A_8703_8CFBFDB2E9EA_.wvu.FilterData" hidden="1">#REF!</definedName>
    <definedName name="Z_94C55B4F_2537_4D7D_8474_5790D67F6050_.wvu.FilterData" hidden="1">#REF!</definedName>
    <definedName name="Z_95F2B0C0_9A08_4CAA_9F3A_70CB7BCEEA50_.wvu.FilterData" hidden="1">#REF!</definedName>
    <definedName name="Z_95F78F88_B5AA_4FED_9D12_5812EE60487F_.wvu.FilterData" hidden="1">#REF!</definedName>
    <definedName name="Z_978CC22D_85FD_4BC8_B4AE_A508C8FC9F75_.wvu.FilterData" hidden="1">#REF!</definedName>
    <definedName name="Z_97C27FC2_073C_41C8_9A60_32173793E005_.wvu.FilterData" hidden="1">#REF!</definedName>
    <definedName name="Z_97C7908D_651E_4E83_8981_7E568417F857_.wvu.FilterData" hidden="1">#REF!</definedName>
    <definedName name="Z_9AE227AF_0A9E_4368_A1CD_FD4525DD66E7_.wvu.FilterData" hidden="1">#REF!</definedName>
    <definedName name="Z_9B7C3697_7421_41F6_BCF9_EF3A17896F66_.wvu.FilterData" hidden="1">#REF!</definedName>
    <definedName name="Z_9BDE999E_9C14_4C54_98CF_3CB71FDF5E58_.wvu.FilterData" hidden="1">#REF!</definedName>
    <definedName name="Z_9D2E48C1_A4C3_440D_96B7_81E1C4C841B3_.wvu.FilterData" hidden="1">#REF!</definedName>
    <definedName name="Z_9D7E0160_799C_463D_A1CA_FB4BC9DAC778_.wvu.FilterData" hidden="1">#REF!</definedName>
    <definedName name="Z_A442C114_404F_4815_830E_9DD5D5773391_.wvu.FilterData" hidden="1">#REF!</definedName>
    <definedName name="Z_A4934E22_6C91_4E39_A19D_08ADBDE7CD8C_.wvu.FilterData" hidden="1">#REF!</definedName>
    <definedName name="Z_A93654DA_AE9C_4342_AB67_1AFB18746EDE_.wvu.FilterData" hidden="1">#REF!</definedName>
    <definedName name="Z_A9BB4C12_831C_47F0_B8C8_DF8A81536391_.wvu.FilterData" hidden="1">#REF!</definedName>
    <definedName name="Z_A9FE8A7E_E2EC_433D_8209_DD69E7226F78_.wvu.FilterData" hidden="1">#REF!</definedName>
    <definedName name="Z_AE5B1BC5_2D0F_4AE5_8185_B05D0D5AC19E_.wvu.FilterData" hidden="1">#REF!</definedName>
    <definedName name="Z_AE66B230_502E_41D5_AD4F_8E5863DCF248_.wvu.FilterData" hidden="1">#REF!</definedName>
    <definedName name="Z_B0E123AF_889F_42A4_9FE9_B0A9F28A45F0_.wvu.FilterData" hidden="1">#REF!</definedName>
    <definedName name="Z_B0F67F60_5C76_4543_9A45_54169805C477_.wvu.FilterData" hidden="1">#REF!</definedName>
    <definedName name="Z_B1765968_EBD0_4405_88F2_54F8020C93AD_.wvu.Cols" hidden="1">#REF!</definedName>
    <definedName name="Z_B1765968_EBD0_4405_88F2_54F8020C93AD_.wvu.FilterData" hidden="1">#REF!</definedName>
    <definedName name="Z_B1765968_EBD0_4405_88F2_54F8020C93AD_.wvu.Rows" hidden="1">#REF!</definedName>
    <definedName name="Z_B22A51AD_95B5_4161_BF98_2EC4481D99A4_.wvu.FilterData" hidden="1">#REF!</definedName>
    <definedName name="Z_B381B5E3_F470_4D21_8E4B_3B12CFD7F251_.wvu.FilterData" hidden="1">#REF!</definedName>
    <definedName name="Z_B41D18A8_7FCB_49AA_841C_AC2DF4C26A8D_.wvu.FilterData" hidden="1">#REF!</definedName>
    <definedName name="Z_B442B7CA_2605_4114_8200_BA32D7D1F368_.wvu.FilterData" hidden="1">#REF!</definedName>
    <definedName name="Z_B4876130_C4BF_4C6C_8193_627611BCBB63_.wvu.FilterData" hidden="1">#REF!</definedName>
    <definedName name="Z_B6065C57_39D3_4607_B99E_18B68E01F5DC_.wvu.FilterData" hidden="1">#REF!</definedName>
    <definedName name="Z_B79FE7A6_C858_4D72_B352_A4FFE01B37C0_.wvu.FilterData" hidden="1">#REF!</definedName>
    <definedName name="Z_B7F3CFFD_E0BF_4F32_AEDE_102C8CA6BD78_.wvu.FilterData" hidden="1">#REF!</definedName>
    <definedName name="Z_B9855B53_71C9_41BD_BA22_E972B986849F_.wvu.FilterData" hidden="1">#REF!</definedName>
    <definedName name="Z_BA32B5C1_009C_47B6_9EC3_98B240D5565E_.wvu.FilterData" hidden="1">#REF!</definedName>
    <definedName name="Z_BC90F76A_35CD_4843_9C79_9A59717BFCC3_.wvu.FilterData" hidden="1">#REF!</definedName>
    <definedName name="Z_BE8A0107_CEF3_425A_9E70_C5517BCB9FA6_.wvu.FilterData" hidden="1">#REF!</definedName>
    <definedName name="Z_BF96AA7D_C7D3_44A2_B83B_CB63652B6698_.wvu.FilterData" hidden="1">#REF!</definedName>
    <definedName name="Z_C0FE779C_2978_4E9E_8981_63C0636CE5A1_.wvu.FilterData" hidden="1">#REF!</definedName>
    <definedName name="Z_C1688FE9_71CA_40D2_AB33_1CF9567FC94F_.wvu.FilterData" hidden="1">#REF!</definedName>
    <definedName name="Z_C34764C8_EBDA_4CF8_BF7E_F63DE3C39704_.wvu.FilterData" hidden="1">#REF!</definedName>
    <definedName name="Z_C34764C8_EBDA_4CF8_BF7E_F63DE3C39704_.wvu.PrintTitles" hidden="1">#REF!</definedName>
    <definedName name="Z_C3F4501C_5F98_4301_9BC8_1B5D8E021172_.wvu.FilterData" hidden="1">#REF!</definedName>
    <definedName name="Z_C412AEA2_00E5_459F_808F_4B937972D2AF_.wvu.FilterData" hidden="1">#REF!</definedName>
    <definedName name="Z_C44EC729_344A_4A8A_89D8_640493F56FC0_.wvu.FilterData" hidden="1">#REF!</definedName>
    <definedName name="Z_C4D26C58_4627_498D_9316_3492B8A7BEC0_.wvu.FilterData" hidden="1">#REF!</definedName>
    <definedName name="Z_C5C1E847_9B39_4031_9B33_750BEF23A101_.wvu.FilterData" hidden="1">#REF!</definedName>
    <definedName name="Z_C6368DF5_F65C_47C9_A984_78E37506DCE2_.wvu.FilterData" hidden="1">#REF!</definedName>
    <definedName name="Z_C6AEED5B_9470_4228_9B04_8015E521A519_.wvu.FilterData" hidden="1">#REF!</definedName>
    <definedName name="Z_C6DC6F80_CB34_4350_BC93_0619246B2794_.wvu.FilterData" hidden="1">#REF!</definedName>
    <definedName name="Z_C748B956_4429_40B5_8256_FBB8AE150415_.wvu.FilterData" hidden="1">#REF!</definedName>
    <definedName name="Z_CAE094BF_A456_4D46_ADFB_622932034FC6_.wvu.FilterData" hidden="1">#REF!</definedName>
    <definedName name="Z_CB31A2FD_8E66_4B12_8A56_AA4D4C47F488_.wvu.FilterData" hidden="1">#REF!</definedName>
    <definedName name="Z_CC865518_789C_4403_8BD1_21DF25055974_.wvu.FilterData" hidden="1">#REF!</definedName>
    <definedName name="Z_CEC4E9E3_6FDD_49F2_ADB1_7B09CD598B52_.wvu.FilterData" hidden="1">#REF!</definedName>
    <definedName name="Z_D261765C_7136_4167_9231_447943F3F2E0_.wvu.FilterData" hidden="1">#REF!</definedName>
    <definedName name="Z_D3F56DAB_9D07_4C34_8216_144427FB4714_.wvu.FilterData" hidden="1">#REF!</definedName>
    <definedName name="Z_D53AA122_C7EB_4B3A_A7DB_465616B76F78_.wvu.FilterData" hidden="1">#REF!</definedName>
    <definedName name="Z_D91DFDD7_0F4F_4417_9521_BB4B62FAE994_.wvu.FilterData" hidden="1">#REF!</definedName>
    <definedName name="Z_DF6E9CCE_F9E0_401E_804B_4CEF056EF5E5_.wvu.FilterData" hidden="1">#REF!</definedName>
    <definedName name="Z_E201B157_1B9E_4B56_8E14_53F0D603F9F0_.wvu.FilterData" hidden="1">#REF!</definedName>
    <definedName name="Z_E277FE82_E4B4_4A4D_8B5F_1265E9E5C900_.wvu.FilterData" hidden="1">#REF!</definedName>
    <definedName name="Z_E36124BC_4EA6_4E6E_8BAA_526029E63E45_.wvu.FilterData" hidden="1">#REF!</definedName>
    <definedName name="Z_E395061D_D695_4561_BB17_89865EF24644_.wvu.FilterData" hidden="1">#REF!</definedName>
    <definedName name="Z_E610FEB7_770A_4F9F_B8AF_64AA70F76BA2_.wvu.FilterData" hidden="1">#REF!</definedName>
    <definedName name="Z_E7577CE3_AEBB_4902_8E98_9A94C0620859_.wvu.FilterData" hidden="1">#REF!</definedName>
    <definedName name="Z_E7577CE3_AEBB_4902_8E98_9A94C0620859_.wvu.Rows" hidden="1">#REF!</definedName>
    <definedName name="Z_E7A00C70_9013_466B_BA9F_B92F6DD2A51B_.wvu.FilterData" hidden="1">#REF!</definedName>
    <definedName name="Z_E931A93F_E5CC_4675_9CB0_55758EB6EBA3_.wvu.FilterData" hidden="1">#REF!</definedName>
    <definedName name="Z_E9D31926_FCDD_40A2_9BC4_EC2EA952C353_.wvu.FilterData" hidden="1">#REF!</definedName>
    <definedName name="Z_EB78E6F5_D4EC_4438_BF5E_F31FECCA24EC_.wvu.FilterData" hidden="1">#REF!</definedName>
    <definedName name="Z_EBE7C292_5A86_4653_8D14_CD9702FCF9C8_.wvu.FilterData" hidden="1">#REF!</definedName>
    <definedName name="Z_ED213E37_D52F_4E5F_A127_EEC6625911F5_.wvu.FilterData" hidden="1">#REF!</definedName>
    <definedName name="Z_EDF7BCF3_F9E4_443A_925C_CF09817534E9_.wvu.FilterData" hidden="1">#REF!</definedName>
    <definedName name="Z_F0BEC28B_F8D3_4160_88F9_8DC7EB0F92EC_.wvu.FilterData" hidden="1">#REF!</definedName>
    <definedName name="Z_F16359A2_0261_421D_8A45_C5629111A060_.wvu.FilterData" hidden="1">#REF!</definedName>
    <definedName name="Z_F5B6A6B7_D4E8_4DB6_8702_B72A4F2524F0_.wvu.FilterData" hidden="1">#REF!</definedName>
    <definedName name="Z_FA011C54_29F7_4F47_9CFB_E680EA330423_.wvu.FilterData" hidden="1">#REF!</definedName>
    <definedName name="Z_FB8D7740_F6C8_4B39_A9C5_6789946B889D_.wvu.FilterData" hidden="1">#REF!</definedName>
    <definedName name="Z_FBA14AC9_D59C_46C7_81DA_41400CA6A512_.wvu.FilterData" hidden="1">#REF!</definedName>
    <definedName name="za" hidden="1">#REF!</definedName>
    <definedName name="ZAC" hidden="1">{#N/A,#N/A,TRUE,"목차";#N/A,#N/A,TRUE,"1.";#N/A,#N/A,TRUE,"2.";#N/A,#N/A,TRUE,"3.";#N/A,#N/A,TRUE,"4-1";#N/A,#N/A,TRUE,"-2";#N/A,#N/A,TRUE,"-3";#N/A,#N/A,TRUE,"-4";#N/A,#N/A,TRUE,"5-1";#N/A,#N/A,TRUE,"5-2";#N/A,#N/A,TRUE,"6-1";#N/A,#N/A,TRUE,"6-2";#N/A,#N/A,TRUE,"7-1";#N/A,#N/A,TRUE,"7-2";#N/A,#N/A,TRUE,"8.";#N/A,#N/A,TRUE,"9."}</definedName>
    <definedName name="ZSX" hidden="1">{#N/A,#N/A,TRUE,"목차";#N/A,#N/A,TRUE,"1.";#N/A,#N/A,TRUE,"2.";#N/A,#N/A,TRUE,"3.";#N/A,#N/A,TRUE,"4-1";#N/A,#N/A,TRUE,"-2";#N/A,#N/A,TRUE,"-3";#N/A,#N/A,TRUE,"-4";#N/A,#N/A,TRUE,"5-1";#N/A,#N/A,TRUE,"5-2";#N/A,#N/A,TRUE,"6-1";#N/A,#N/A,TRUE,"6-2";#N/A,#N/A,TRUE,"7-1";#N/A,#N/A,TRUE,"7-2";#N/A,#N/A,TRUE,"8.";#N/A,#N/A,TRUE,"9."}</definedName>
    <definedName name="ZSZSZ" hidden="1">{"'매출계획'!$D$2"}</definedName>
    <definedName name="ZXC" hidden="1">{"'매출계획'!$D$2"}</definedName>
    <definedName name="zxzzx" hidden="1">{#N/A,#N/A,TRUE,"목차";#N/A,#N/A,TRUE,"1.";#N/A,#N/A,TRUE,"2.";#N/A,#N/A,TRUE,"3.";#N/A,#N/A,TRUE,"4-1";#N/A,#N/A,TRUE,"-2";#N/A,#N/A,TRUE,"-3";#N/A,#N/A,TRUE,"-4";#N/A,#N/A,TRUE,"5-1";#N/A,#N/A,TRUE,"5-2";#N/A,#N/A,TRUE,"6-1";#N/A,#N/A,TRUE,"6-2";#N/A,#N/A,TRUE,"7-1";#N/A,#N/A,TRUE,"7-2";#N/A,#N/A,TRUE,"8.";#N/A,#N/A,TRUE,"9."}</definedName>
    <definedName name="ZZZZ" hidden="1">#REF!</definedName>
    <definedName name="ZZZZZ" hidden="1">{#N/A,#N/A,TRUE,"LOADCOVE";#N/A,#N/A,TRUE,"PAGE001";#N/A,#N/A,TRUE,"PAGE002";#N/A,#N/A,TRUE,"PAGE003";#N/A,#N/A,TRUE,"PAGE004";#N/A,#N/A,TRUE,"PAGE005";#N/A,#N/A,TRUE,"PAGE006";#N/A,#N/A,TRUE,"PAGE007";#N/A,#N/A,TRUE,"PAGE008";#N/A,#N/A,TRUE,"PAGE009";#N/A,#N/A,TRUE,"PAGE010";#N/A,#N/A,TRUE,"PAGE011";#N/A,#N/A,TRUE,"PAGE012";#N/A,#N/A,TRUE,"PAGE013"}</definedName>
    <definedName name="ㄱㄴㄷ" hidden="1">{#N/A,#N/A,TRUE,"목차";#N/A,#N/A,TRUE,"1.";#N/A,#N/A,TRUE,"2.";#N/A,#N/A,TRUE,"3.";#N/A,#N/A,TRUE,"4-1";#N/A,#N/A,TRUE,"-2";#N/A,#N/A,TRUE,"-3";#N/A,#N/A,TRUE,"-4";#N/A,#N/A,TRUE,"5-1";#N/A,#N/A,TRUE,"5-2";#N/A,#N/A,TRUE,"6-1";#N/A,#N/A,TRUE,"6-2";#N/A,#N/A,TRUE,"7-1";#N/A,#N/A,TRUE,"7-2";#N/A,#N/A,TRUE,"8.";#N/A,#N/A,TRUE,"9."}</definedName>
    <definedName name="ㄱㅂ" hidden="1">{#N/A,#N/A,TRUE,"LOADCOVE";#N/A,#N/A,TRUE,"PAGE001";#N/A,#N/A,TRUE,"PAGE002";#N/A,#N/A,TRUE,"PAGE003";#N/A,#N/A,TRUE,"PAGE004";#N/A,#N/A,TRUE,"PAGE005";#N/A,#N/A,TRUE,"PAGE006";#N/A,#N/A,TRUE,"PAGE007";#N/A,#N/A,TRUE,"PAGE008";#N/A,#N/A,TRUE,"PAGE009";#N/A,#N/A,TRUE,"PAGE010";#N/A,#N/A,TRUE,"PAGE011";#N/A,#N/A,TRUE,"PAGE012";#N/A,#N/A,TRUE,"PAGE013"}</definedName>
    <definedName name="가가" hidden="1">{"'매출계획'!$D$2"}</definedName>
    <definedName name="가공" hidden="1">{"'매출계획'!$D$2"}</definedName>
    <definedName name="가공1" hidden="1">{"'매출계획'!$D$2"}</definedName>
    <definedName name="가공2" hidden="1">{"'매출계획'!$D$2"}</definedName>
    <definedName name="가나다" hidden="1">#REF!</definedName>
    <definedName name="가능" hidden="1">{#N/A,#N/A,TRUE,"LOADCOVE";#N/A,#N/A,TRUE,"PAGE001";#N/A,#N/A,TRUE,"PAGE002";#N/A,#N/A,TRUE,"PAGE003";#N/A,#N/A,TRUE,"PAGE004";#N/A,#N/A,TRUE,"PAGE005";#N/A,#N/A,TRUE,"PAGE006";#N/A,#N/A,TRUE,"PAGE007";#N/A,#N/A,TRUE,"PAGE008";#N/A,#N/A,TRUE,"PAGE009";#N/A,#N/A,TRUE,"PAGE010";#N/A,#N/A,TRUE,"PAGE011";#N/A,#N/A,TRUE,"PAGE012";#N/A,#N/A,TRUE,"PAGE013"}</definedName>
    <definedName name="가실행" hidden="1">{#N/A,#N/A,FALSE,"지침";#N/A,#N/A,FALSE,"환경분석";#N/A,#N/A,FALSE,"Sheet16"}</definedName>
    <definedName name="감" hidden="1">{#N/A,#N/A,FALSE,"지침";#N/A,#N/A,FALSE,"환경분석";#N/A,#N/A,FALSE,"Sheet16"}</definedName>
    <definedName name="감가상각비" hidden="1">{"'호선별현황(방식)'!$K$22:$P$22","'호선별현황(방식)'!$K$22:$P$22"}</definedName>
    <definedName name="감리상주" hidden="1">{#N/A,#N/A,FALSE,"지침";#N/A,#N/A,FALSE,"환경분석";#N/A,#N/A,FALSE,"Sheet16"}</definedName>
    <definedName name="강교외주가공" hidden="1">{"'매출계획'!$D$2"}</definedName>
    <definedName name="강상판원가" hidden="1">{#N/A,#N/A,FALSE,"손익계획";#N/A,#N/A,FALSE,"수익계획";#N/A,#N/A,FALSE,"실적분석"}</definedName>
    <definedName name="강안" hidden="1">{"'매출계획'!$D$2"}</definedName>
    <definedName name="강재변경" hidden="1">{#N/A,#N/A,FALSE,"손익계획";#N/A,#N/A,FALSE,"수익계획";#N/A,#N/A,FALSE,"실적분석"}</definedName>
    <definedName name="개구리" hidden="1">{"'매출계획'!$D$2"}</definedName>
    <definedName name="개구리소년" hidden="1">{"'매출계획'!$D$2"}</definedName>
    <definedName name="개선사례2" hidden="1">{"'매출계획'!$D$2"}</definedName>
    <definedName name="개선사항" hidden="1">{"'호선별현황(방식)'!$K$22:$P$22","'호선별현황(방식)'!$K$22:$P$22"}</definedName>
    <definedName name="개선제출6월2" hidden="1">{#N/A,#N/A,TRUE,"LOADCOVE";#N/A,#N/A,TRUE,"PAGE001";#N/A,#N/A,TRUE,"PAGE002";#N/A,#N/A,TRUE,"PAGE003";#N/A,#N/A,TRUE,"PAGE004";#N/A,#N/A,TRUE,"PAGE005";#N/A,#N/A,TRUE,"PAGE006";#N/A,#N/A,TRUE,"PAGE007";#N/A,#N/A,TRUE,"PAGE008";#N/A,#N/A,TRUE,"PAGE009";#N/A,#N/A,TRUE,"PAGE010";#N/A,#N/A,TRUE,"PAGE011";#N/A,#N/A,TRUE,"PAGE012";#N/A,#N/A,TRUE,"PAGE013"}</definedName>
    <definedName name="개선항목2" hidden="1">{"'호선별현황(방식)'!$K$22:$P$22","'호선별현황(방식)'!$K$22:$P$22"}</definedName>
    <definedName name="개요" hidden="1">{#N/A,#N/A,FALSE,"손익계획";#N/A,#N/A,FALSE,"수익계획";#N/A,#N/A,FALSE,"실적분석"}</definedName>
    <definedName name="개정2" hidden="1">{#N/A,#N/A,TRUE,"목차";#N/A,#N/A,TRUE,"1.";#N/A,#N/A,TRUE,"2.";#N/A,#N/A,TRUE,"3.";#N/A,#N/A,TRUE,"4-1";#N/A,#N/A,TRUE,"-2";#N/A,#N/A,TRUE,"-3";#N/A,#N/A,TRUE,"-4";#N/A,#N/A,TRUE,"5-1";#N/A,#N/A,TRUE,"5-2";#N/A,#N/A,TRUE,"6-1";#N/A,#N/A,TRUE,"6-2";#N/A,#N/A,TRUE,"7-1";#N/A,#N/A,TRUE,"7-2";#N/A,#N/A,TRUE,"8.";#N/A,#N/A,TRUE,"9."}</definedName>
    <definedName name="개정3" hidden="1">{#N/A,#N/A,TRUE,"목차";#N/A,#N/A,TRUE,"1.";#N/A,#N/A,TRUE,"2.";#N/A,#N/A,TRUE,"3.";#N/A,#N/A,TRUE,"4-1";#N/A,#N/A,TRUE,"-2";#N/A,#N/A,TRUE,"-3";#N/A,#N/A,TRUE,"-4";#N/A,#N/A,TRUE,"5-1";#N/A,#N/A,TRUE,"5-2";#N/A,#N/A,TRUE,"6-1";#N/A,#N/A,TRUE,"6-2";#N/A,#N/A,TRUE,"7-1";#N/A,#N/A,TRUE,"7-2";#N/A,#N/A,TRUE,"8.";#N/A,#N/A,TRUE,"9."}</definedName>
    <definedName name="거울" hidden="1">{"'매출계획'!$D$2"}</definedName>
    <definedName name="건조" hidden="1">{#N/A,#N/A,TRUE,"목차";#N/A,#N/A,TRUE,"1.";#N/A,#N/A,TRUE,"2.";#N/A,#N/A,TRUE,"3.";#N/A,#N/A,TRUE,"4-1";#N/A,#N/A,TRUE,"-2";#N/A,#N/A,TRUE,"-3";#N/A,#N/A,TRUE,"-4";#N/A,#N/A,TRUE,"5-1";#N/A,#N/A,TRUE,"5-2";#N/A,#N/A,TRUE,"6-1";#N/A,#N/A,TRUE,"6-2";#N/A,#N/A,TRUE,"7-1";#N/A,#N/A,TRUE,"7-2";#N/A,#N/A,TRUE,"8.";#N/A,#N/A,TRUE,"9."}</definedName>
    <definedName name="건조2부사유" hidden="1">{#N/A,#N/A,TRUE,"목차";#N/A,#N/A,TRUE,"1.";#N/A,#N/A,TRUE,"2.";#N/A,#N/A,TRUE,"3.";#N/A,#N/A,TRUE,"4-1";#N/A,#N/A,TRUE,"-2";#N/A,#N/A,TRUE,"-3";#N/A,#N/A,TRUE,"-4";#N/A,#N/A,TRUE,"5-1";#N/A,#N/A,TRUE,"5-2";#N/A,#N/A,TRUE,"6-1";#N/A,#N/A,TRUE,"6-2";#N/A,#N/A,TRUE,"7-1";#N/A,#N/A,TRUE,"7-2";#N/A,#N/A,TRUE,"8.";#N/A,#N/A,TRUE,"9."}</definedName>
    <definedName name="건조3" hidden="1">{#N/A,#N/A,TRUE,"목차";#N/A,#N/A,TRUE,"1.";#N/A,#N/A,TRUE,"2.";#N/A,#N/A,TRUE,"3.";#N/A,#N/A,TRUE,"4-1";#N/A,#N/A,TRUE,"-2";#N/A,#N/A,TRUE,"-3";#N/A,#N/A,TRUE,"-4";#N/A,#N/A,TRUE,"5-1";#N/A,#N/A,TRUE,"5-2";#N/A,#N/A,TRUE,"6-1";#N/A,#N/A,TRUE,"6-2";#N/A,#N/A,TRUE,"7-1";#N/A,#N/A,TRUE,"7-2";#N/A,#N/A,TRUE,"8.";#N/A,#N/A,TRUE,"9."}</definedName>
    <definedName name="건조31" hidden="1">{#N/A,#N/A,TRUE,"목차";#N/A,#N/A,TRUE,"1.";#N/A,#N/A,TRUE,"2.";#N/A,#N/A,TRUE,"3.";#N/A,#N/A,TRUE,"4-1";#N/A,#N/A,TRUE,"-2";#N/A,#N/A,TRUE,"-3";#N/A,#N/A,TRUE,"-4";#N/A,#N/A,TRUE,"5-1";#N/A,#N/A,TRUE,"5-2";#N/A,#N/A,TRUE,"6-1";#N/A,#N/A,TRUE,"6-2";#N/A,#N/A,TRUE,"7-1";#N/A,#N/A,TRUE,"7-2";#N/A,#N/A,TRUE,"8.";#N/A,#N/A,TRUE,"9."}</definedName>
    <definedName name="건조32" hidden="1">{#N/A,#N/A,TRUE,"목차";#N/A,#N/A,TRUE,"1.";#N/A,#N/A,TRUE,"2.";#N/A,#N/A,TRUE,"3.";#N/A,#N/A,TRUE,"4-1";#N/A,#N/A,TRUE,"-2";#N/A,#N/A,TRUE,"-3";#N/A,#N/A,TRUE,"-4";#N/A,#N/A,TRUE,"5-1";#N/A,#N/A,TRUE,"5-2";#N/A,#N/A,TRUE,"6-1";#N/A,#N/A,TRUE,"6-2";#N/A,#N/A,TRUE,"7-1";#N/A,#N/A,TRUE,"7-2";#N/A,#N/A,TRUE,"8.";#N/A,#N/A,TRUE,"9."}</definedName>
    <definedName name="건조과" hidden="1">{"'매출계획'!$D$2"}</definedName>
    <definedName name="건조부" hidden="1">{"'매출계획'!$D$2"}</definedName>
    <definedName name="검토" hidden="1">{#N/A,#N/A,TRUE,"LOADCOVE";#N/A,#N/A,TRUE,"PAGE001";#N/A,#N/A,TRUE,"PAGE002";#N/A,#N/A,TRUE,"PAGE003";#N/A,#N/A,TRUE,"PAGE004";#N/A,#N/A,TRUE,"PAGE005";#N/A,#N/A,TRUE,"PAGE006";#N/A,#N/A,TRUE,"PAGE007";#N/A,#N/A,TRUE,"PAGE008";#N/A,#N/A,TRUE,"PAGE009";#N/A,#N/A,TRUE,"PAGE010";#N/A,#N/A,TRUE,"PAGE011";#N/A,#N/A,TRUE,"PAGE012";#N/A,#N/A,TRUE,"PAGE013"}</definedName>
    <definedName name="게장" hidden="1">{#N/A,#N/A,FALSE,"부서종합";#N/A,#N/A,FALSE,"DISC종합";#N/A,#N/A,FALSE,"생산1과";#N/A,#N/A,FALSE,"생산2과";#N/A,#N/A,FALSE,"전기계장";#N/A,#N/A,FALSE,"기계";#N/A,#N/A,FALSE,"철의장";#N/A,#N/A,FALSE,"거주구";#N/A,#N/A,FALSE,"HVAC"}</definedName>
    <definedName name="견적" hidden="1">{#N/A,#N/A,FALSE,"지침";#N/A,#N/A,FALSE,"환경분석";#N/A,#N/A,FALSE,"Sheet16"}</definedName>
    <definedName name="견적총괄" hidden="1">{#N/A,#N/A,TRUE,"LOADCOVE";#N/A,#N/A,TRUE,"PAGE001";#N/A,#N/A,TRUE,"PAGE002";#N/A,#N/A,TRUE,"PAGE003";#N/A,#N/A,TRUE,"PAGE004";#N/A,#N/A,TRUE,"PAGE005";#N/A,#N/A,TRUE,"PAGE006";#N/A,#N/A,TRUE,"PAGE007";#N/A,#N/A,TRUE,"PAGE008";#N/A,#N/A,TRUE,"PAGE009";#N/A,#N/A,TRUE,"PAGE010";#N/A,#N/A,TRUE,"PAGE011";#N/A,#N/A,TRUE,"PAGE012";#N/A,#N/A,TRUE,"PAGE013"}</definedName>
    <definedName name="경비2차분" hidden="1">{"'장비'!$A$3:$M$12"}</definedName>
    <definedName name="경영" hidden="1">{#N/A,#N/A,TRUE,"LOADCOVE";#N/A,#N/A,TRUE,"PAGE001";#N/A,#N/A,TRUE,"PAGE002";#N/A,#N/A,TRUE,"PAGE003";#N/A,#N/A,TRUE,"PAGE004";#N/A,#N/A,TRUE,"PAGE005";#N/A,#N/A,TRUE,"PAGE006";#N/A,#N/A,TRUE,"PAGE007";#N/A,#N/A,TRUE,"PAGE008";#N/A,#N/A,TRUE,"PAGE009";#N/A,#N/A,TRUE,"PAGE010";#N/A,#N/A,TRUE,"PAGE011";#N/A,#N/A,TRUE,"PAGE012";#N/A,#N/A,TRUE,"PAGE013"}</definedName>
    <definedName name="계약" hidden="1">{#N/A,#N/A,TRUE,"목차";#N/A,#N/A,TRUE,"1.";#N/A,#N/A,TRUE,"2.";#N/A,#N/A,TRUE,"3.";#N/A,#N/A,TRUE,"4-1";#N/A,#N/A,TRUE,"-2";#N/A,#N/A,TRUE,"-3";#N/A,#N/A,TRUE,"-4";#N/A,#N/A,TRUE,"5-1";#N/A,#N/A,TRUE,"5-2";#N/A,#N/A,TRUE,"6-1";#N/A,#N/A,TRUE,"6-2";#N/A,#N/A,TRUE,"7-1";#N/A,#N/A,TRUE,"7-2";#N/A,#N/A,TRUE,"8.";#N/A,#N/A,TRUE,"9."}</definedName>
    <definedName name="계장부하" hidden="1">{#N/A,#N/A,FALSE,"부서종합";#N/A,#N/A,FALSE,"DISC종합";#N/A,#N/A,FALSE,"생산1과";#N/A,#N/A,FALSE,"생산2과";#N/A,#N/A,FALSE,"전기계장";#N/A,#N/A,FALSE,"기계";#N/A,#N/A,FALSE,"철의장";#N/A,#N/A,FALSE,"거주구";#N/A,#N/A,FALSE,"HVAC"}</definedName>
    <definedName name="계전2" hidden="1">#REF!</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획"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계획.실적b" hidden="1">{#N/A,#N/A,TRUE,"LOADCOVE";#N/A,#N/A,TRUE,"PAGE001";#N/A,#N/A,TRUE,"PAGE002";#N/A,#N/A,TRUE,"PAGE003";#N/A,#N/A,TRUE,"PAGE004";#N/A,#N/A,TRUE,"PAGE005";#N/A,#N/A,TRUE,"PAGE006";#N/A,#N/A,TRUE,"PAGE007";#N/A,#N/A,TRUE,"PAGE008";#N/A,#N/A,TRUE,"PAGE009";#N/A,#N/A,TRUE,"PAGE010";#N/A,#N/A,TRUE,"PAGE011";#N/A,#N/A,TRUE,"PAGE012";#N/A,#N/A,TRUE,"PAGE013"}</definedName>
    <definedName name="계획4" hidden="1">{#N/A,#N/A,TRUE,"LOADCOVE";#N/A,#N/A,TRUE,"PAGE001";#N/A,#N/A,TRUE,"PAGE002";#N/A,#N/A,TRUE,"PAGE003";#N/A,#N/A,TRUE,"PAGE004";#N/A,#N/A,TRUE,"PAGE005";#N/A,#N/A,TRUE,"PAGE006";#N/A,#N/A,TRUE,"PAGE007";#N/A,#N/A,TRUE,"PAGE008";#N/A,#N/A,TRUE,"PAGE009";#N/A,#N/A,TRUE,"PAGE010";#N/A,#N/A,TRUE,"PAGE011";#N/A,#N/A,TRUE,"PAGE012";#N/A,#N/A,TRUE,"PAGE013"}</definedName>
    <definedName name="계획대실적2" hidden="1">{#N/A,#N/A,TRUE,"LOADCOVE";#N/A,#N/A,TRUE,"PAGE001";#N/A,#N/A,TRUE,"PAGE002";#N/A,#N/A,TRUE,"PAGE003";#N/A,#N/A,TRUE,"PAGE004";#N/A,#N/A,TRUE,"PAGE005";#N/A,#N/A,TRUE,"PAGE006";#N/A,#N/A,TRUE,"PAGE007";#N/A,#N/A,TRUE,"PAGE008";#N/A,#N/A,TRUE,"PAGE009";#N/A,#N/A,TRUE,"PAGE010";#N/A,#N/A,TRUE,"PAGE011";#N/A,#N/A,TRUE,"PAGE012";#N/A,#N/A,TRUE,"PAGE013"}</definedName>
    <definedName name="계획대실적3" hidden="1">{#N/A,#N/A,TRUE,"LOADCOVE";#N/A,#N/A,TRUE,"PAGE001";#N/A,#N/A,TRUE,"PAGE002";#N/A,#N/A,TRUE,"PAGE003";#N/A,#N/A,TRUE,"PAGE004";#N/A,#N/A,TRUE,"PAGE005";#N/A,#N/A,TRUE,"PAGE006";#N/A,#N/A,TRUE,"PAGE007";#N/A,#N/A,TRUE,"PAGE008";#N/A,#N/A,TRUE,"PAGE009";#N/A,#N/A,TRUE,"PAGE010";#N/A,#N/A,TRUE,"PAGE011";#N/A,#N/A,TRUE,"PAGE012";#N/A,#N/A,TRUE,"PAGE013"}</definedName>
    <definedName name="계획대실적5" hidden="1">{#N/A,#N/A,TRUE,"LOADCOVE";#N/A,#N/A,TRUE,"PAGE001";#N/A,#N/A,TRUE,"PAGE002";#N/A,#N/A,TRUE,"PAGE003";#N/A,#N/A,TRUE,"PAGE004";#N/A,#N/A,TRUE,"PAGE005";#N/A,#N/A,TRUE,"PAGE006";#N/A,#N/A,TRUE,"PAGE007";#N/A,#N/A,TRUE,"PAGE008";#N/A,#N/A,TRUE,"PAGE009";#N/A,#N/A,TRUE,"PAGE010";#N/A,#N/A,TRUE,"PAGE011";#N/A,#N/A,TRUE,"PAGE012";#N/A,#N/A,TRUE,"PAGE013"}</definedName>
    <definedName name="계획대실적6" hidden="1">{#N/A,#N/A,TRUE,"LOADCOVE";#N/A,#N/A,TRUE,"PAGE001";#N/A,#N/A,TRUE,"PAGE002";#N/A,#N/A,TRUE,"PAGE003";#N/A,#N/A,TRUE,"PAGE004";#N/A,#N/A,TRUE,"PAGE005";#N/A,#N/A,TRUE,"PAGE006";#N/A,#N/A,TRUE,"PAGE007";#N/A,#N/A,TRUE,"PAGE008";#N/A,#N/A,TRUE,"PAGE009";#N/A,#N/A,TRUE,"PAGE010";#N/A,#N/A,TRUE,"PAGE011";#N/A,#N/A,TRUE,"PAGE012";#N/A,#N/A,TRUE,"PAGE013"}</definedName>
    <definedName name="고려" hidden="1">{"'매출계획'!$D$2"}</definedName>
    <definedName name="공16" hidden="1">{"'매출계획'!$D$2"}</definedName>
    <definedName name="공가" hidden="1">{"'매출계획'!$D$2"}</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기1" hidden="1">#REF!</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공기구4" hidden="1">{#N/A,#N/A,TRUE,"LOADCOVE";#N/A,#N/A,TRUE,"PAGE001";#N/A,#N/A,TRUE,"PAGE002";#N/A,#N/A,TRUE,"PAGE003";#N/A,#N/A,TRUE,"PAGE004";#N/A,#N/A,TRUE,"PAGE005";#N/A,#N/A,TRUE,"PAGE006";#N/A,#N/A,TRUE,"PAGE007";#N/A,#N/A,TRUE,"PAGE008";#N/A,#N/A,TRUE,"PAGE009";#N/A,#N/A,TRUE,"PAGE010";#N/A,#N/A,TRUE,"PAGE011";#N/A,#N/A,TRUE,"PAGE012";#N/A,#N/A,TRUE,"PAGE013"}</definedName>
    <definedName name="공법" hidden="1">{#N/A,#N/A,TRUE,"목차";#N/A,#N/A,TRUE,"1.";#N/A,#N/A,TRUE,"2.";#N/A,#N/A,TRUE,"3.";#N/A,#N/A,TRUE,"4-1";#N/A,#N/A,TRUE,"-2";#N/A,#N/A,TRUE,"-3";#N/A,#N/A,TRUE,"-4";#N/A,#N/A,TRUE,"5-1";#N/A,#N/A,TRUE,"5-2";#N/A,#N/A,TRUE,"6-1";#N/A,#N/A,TRUE,"6-2";#N/A,#N/A,TRUE,"7-1";#N/A,#N/A,TRUE,"7-2";#N/A,#N/A,TRUE,"8.";#N/A,#N/A,TRUE,"9."}</definedName>
    <definedName name="공법02" hidden="1">{"'매출계획'!$D$2"}</definedName>
    <definedName name="공법03" hidden="1">{"'매출계획'!$D$2"}</definedName>
    <definedName name="공사3부" hidden="1">{#N/A,#N/A,TRUE,"LOADCOVE";#N/A,#N/A,TRUE,"PAGE001";#N/A,#N/A,TRUE,"PAGE002";#N/A,#N/A,TRUE,"PAGE003";#N/A,#N/A,TRUE,"PAGE004";#N/A,#N/A,TRUE,"PAGE005";#N/A,#N/A,TRUE,"PAGE006";#N/A,#N/A,TRUE,"PAGE007";#N/A,#N/A,TRUE,"PAGE008";#N/A,#N/A,TRUE,"PAGE009";#N/A,#N/A,TRUE,"PAGE010";#N/A,#N/A,TRUE,"PAGE011";#N/A,#N/A,TRUE,"PAGE012";#N/A,#N/A,TRUE,"PAGE013"}</definedName>
    <definedName name="공사개요" hidden="1">{#N/A,#N/A,FALSE,"손익계획";#N/A,#N/A,FALSE,"수익계획";#N/A,#N/A,FALSE,"실적분석"}</definedName>
    <definedName name="공사별과별작성" hidden="1">{#N/A,#N/A,TRUE,"LOADCOVE";#N/A,#N/A,TRUE,"PAGE001";#N/A,#N/A,TRUE,"PAGE002";#N/A,#N/A,TRUE,"PAGE003";#N/A,#N/A,TRUE,"PAGE004";#N/A,#N/A,TRUE,"PAGE005";#N/A,#N/A,TRUE,"PAGE006";#N/A,#N/A,TRUE,"PAGE007";#N/A,#N/A,TRUE,"PAGE008";#N/A,#N/A,TRUE,"PAGE009";#N/A,#N/A,TRUE,"PAGE010";#N/A,#N/A,TRUE,"PAGE011";#N/A,#N/A,TRUE,"PAGE012";#N/A,#N/A,TRUE,"PAGE013"}</definedName>
    <definedName name="공수1" hidden="1">{#N/A,#N/A,TRUE,"목차";#N/A,#N/A,TRUE,"1.";#N/A,#N/A,TRUE,"2.";#N/A,#N/A,TRUE,"3.";#N/A,#N/A,TRUE,"4-1";#N/A,#N/A,TRUE,"-2";#N/A,#N/A,TRUE,"-3";#N/A,#N/A,TRUE,"-4";#N/A,#N/A,TRUE,"5-1";#N/A,#N/A,TRUE,"5-2";#N/A,#N/A,TRUE,"6-1";#N/A,#N/A,TRUE,"6-2";#N/A,#N/A,TRUE,"7-1";#N/A,#N/A,TRUE,"7-2";#N/A,#N/A,TRUE,"8.";#N/A,#N/A,TRUE,"9."}</definedName>
    <definedName name="공수2" hidden="1">{#N/A,#N/A,TRUE,"LOADCOVE";#N/A,#N/A,TRUE,"PAGE001";#N/A,#N/A,TRUE,"PAGE002";#N/A,#N/A,TRUE,"PAGE003";#N/A,#N/A,TRUE,"PAGE004";#N/A,#N/A,TRUE,"PAGE005";#N/A,#N/A,TRUE,"PAGE006";#N/A,#N/A,TRUE,"PAGE007";#N/A,#N/A,TRUE,"PAGE008";#N/A,#N/A,TRUE,"PAGE009";#N/A,#N/A,TRUE,"PAGE010";#N/A,#N/A,TRUE,"PAGE011";#N/A,#N/A,TRUE,"PAGE012";#N/A,#N/A,TRUE,"PAGE013"}</definedName>
    <definedName name="공수예실" hidden="1">{#N/A,#N/A,TRUE,"LOADCOVE";#N/A,#N/A,TRUE,"PAGE001";#N/A,#N/A,TRUE,"PAGE002";#N/A,#N/A,TRUE,"PAGE003";#N/A,#N/A,TRUE,"PAGE004";#N/A,#N/A,TRUE,"PAGE005";#N/A,#N/A,TRUE,"PAGE006";#N/A,#N/A,TRUE,"PAGE007";#N/A,#N/A,TRUE,"PAGE008";#N/A,#N/A,TRUE,"PAGE009";#N/A,#N/A,TRUE,"PAGE010";#N/A,#N/A,TRUE,"PAGE011";#N/A,#N/A,TRUE,"PAGE012";#N/A,#N/A,TRUE,"PAGE013"}</definedName>
    <definedName name="공수최종" hidden="1">{#N/A,#N/A,TRUE,"LOADCOVE";#N/A,#N/A,TRUE,"PAGE001";#N/A,#N/A,TRUE,"PAGE002";#N/A,#N/A,TRUE,"PAGE003";#N/A,#N/A,TRUE,"PAGE004";#N/A,#N/A,TRUE,"PAGE005";#N/A,#N/A,TRUE,"PAGE006";#N/A,#N/A,TRUE,"PAGE007";#N/A,#N/A,TRUE,"PAGE008";#N/A,#N/A,TRUE,"PAGE009";#N/A,#N/A,TRUE,"PAGE010";#N/A,#N/A,TRUE,"PAGE011";#N/A,#N/A,TRUE,"PAGE012";#N/A,#N/A,TRUE,"PAGE013"}</definedName>
    <definedName name="공장월별" hidden="1">{"'호선별현황(방식)'!$K$22:$P$22","'호선별현황(방식)'!$K$22:$P$22"}</definedName>
    <definedName name="과운영1" hidden="1">{"'호선별현황(방식)'!$K$22:$P$22","'호선별현황(방식)'!$K$22:$P$22"}</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3조1" hidden="1">{#N/A,#N/A,TRUE,"LOADCOVE";#N/A,#N/A,TRUE,"PAGE001";#N/A,#N/A,TRUE,"PAGE002";#N/A,#N/A,TRUE,"PAGE003";#N/A,#N/A,TRUE,"PAGE004";#N/A,#N/A,TRUE,"PAGE005";#N/A,#N/A,TRUE,"PAGE006";#N/A,#N/A,TRUE,"PAGE007";#N/A,#N/A,TRUE,"PAGE008";#N/A,#N/A,TRUE,"PAGE009";#N/A,#N/A,TRUE,"PAGE010";#N/A,#N/A,TRUE,"PAGE011";#N/A,#N/A,TRUE,"PAGE012";#N/A,#N/A,TRUE,"PAGE013"}</definedName>
    <definedName name="구4조" hidden="1">{#N/A,#N/A,TRUE,"LOADCOVE";#N/A,#N/A,TRUE,"PAGE001";#N/A,#N/A,TRUE,"PAGE002";#N/A,#N/A,TRUE,"PAGE003";#N/A,#N/A,TRUE,"PAGE004";#N/A,#N/A,TRUE,"PAGE005";#N/A,#N/A,TRUE,"PAGE006";#N/A,#N/A,TRUE,"PAGE007";#N/A,#N/A,TRUE,"PAGE008";#N/A,#N/A,TRUE,"PAGE009";#N/A,#N/A,TRUE,"PAGE010";#N/A,#N/A,TRUE,"PAGE011";#N/A,#N/A,TRUE,"PAGE012";#N/A,#N/A,TRUE,"PAGE013"}</definedName>
    <definedName name="구매" hidden="1">{#N/A,#N/A,TRUE,"LOADCOVE";#N/A,#N/A,TRUE,"PAGE001";#N/A,#N/A,TRUE,"PAGE002";#N/A,#N/A,TRUE,"PAGE003";#N/A,#N/A,TRUE,"PAGE004";#N/A,#N/A,TRUE,"PAGE005";#N/A,#N/A,TRUE,"PAGE006";#N/A,#N/A,TRUE,"PAGE007";#N/A,#N/A,TRUE,"PAGE008";#N/A,#N/A,TRUE,"PAGE009";#N/A,#N/A,TRUE,"PAGE010";#N/A,#N/A,TRUE,"PAGE011";#N/A,#N/A,TRUE,"PAGE012";#N/A,#N/A,TRUE,"PAGE013"}</definedName>
    <definedName name="구분직종" hidden="1">{#N/A,#N/A,TRUE,"목차";#N/A,#N/A,TRUE,"1.";#N/A,#N/A,TRUE,"2.";#N/A,#N/A,TRUE,"3.";#N/A,#N/A,TRUE,"4-1";#N/A,#N/A,TRUE,"-2";#N/A,#N/A,TRUE,"-3";#N/A,#N/A,TRUE,"-4";#N/A,#N/A,TRUE,"5-1";#N/A,#N/A,TRUE,"5-2";#N/A,#N/A,TRUE,"6-1";#N/A,#N/A,TRUE,"6-2";#N/A,#N/A,TRUE,"7-1";#N/A,#N/A,TRUE,"7-2";#N/A,#N/A,TRUE,"8.";#N/A,#N/A,TRUE,"9."}</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1"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4" hidden="1">{#N/A,#N/A,TRUE,"LOADCOVE";#N/A,#N/A,TRUE,"PAGE001";#N/A,#N/A,TRUE,"PAGE002";#N/A,#N/A,TRUE,"PAGE003";#N/A,#N/A,TRUE,"PAGE004";#N/A,#N/A,TRUE,"PAGE005";#N/A,#N/A,TRUE,"PAGE006";#N/A,#N/A,TRUE,"PAGE007";#N/A,#N/A,TRUE,"PAGE008";#N/A,#N/A,TRUE,"PAGE009";#N/A,#N/A,TRUE,"PAGE010";#N/A,#N/A,TRUE,"PAGE011";#N/A,#N/A,TRUE,"PAGE012";#N/A,#N/A,TRUE,"PAGE013"}</definedName>
    <definedName name="구조5" hidden="1">{#N/A,#N/A,TRUE,"목차";#N/A,#N/A,TRUE,"1.";#N/A,#N/A,TRUE,"2.";#N/A,#N/A,TRUE,"3.";#N/A,#N/A,TRUE,"4-1";#N/A,#N/A,TRUE,"-2";#N/A,#N/A,TRUE,"-3";#N/A,#N/A,TRUE,"-4";#N/A,#N/A,TRUE,"5-1";#N/A,#N/A,TRUE,"5-2";#N/A,#N/A,TRUE,"6-1";#N/A,#N/A,TRUE,"6-2";#N/A,#N/A,TRUE,"7-1";#N/A,#N/A,TRUE,"7-2";#N/A,#N/A,TRUE,"8.";#N/A,#N/A,TRUE,"9."}</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구조LOAD1" hidden="1">{#N/A,#N/A,TRUE,"LOADCOVE";#N/A,#N/A,TRUE,"PAGE001";#N/A,#N/A,TRUE,"PAGE002";#N/A,#N/A,TRUE,"PAGE003";#N/A,#N/A,TRUE,"PAGE004";#N/A,#N/A,TRUE,"PAGE005";#N/A,#N/A,TRUE,"PAGE006";#N/A,#N/A,TRUE,"PAGE007";#N/A,#N/A,TRUE,"PAGE008";#N/A,#N/A,TRUE,"PAGE009";#N/A,#N/A,TRUE,"PAGE010";#N/A,#N/A,TRUE,"PAGE011";#N/A,#N/A,TRUE,"PAGE012";#N/A,#N/A,TRUE,"PAGE013"}</definedName>
    <definedName name="구조설계부" hidden="1">{#N/A,#N/A,TRUE,"목차";#N/A,#N/A,TRUE,"1.";#N/A,#N/A,TRUE,"2.";#N/A,#N/A,TRUE,"3.";#N/A,#N/A,TRUE,"4-1";#N/A,#N/A,TRUE,"-2";#N/A,#N/A,TRUE,"-3";#N/A,#N/A,TRUE,"-4";#N/A,#N/A,TRUE,"5-1";#N/A,#N/A,TRUE,"5-2";#N/A,#N/A,TRUE,"6-1";#N/A,#N/A,TRUE,"6-2";#N/A,#N/A,TRUE,"7-1";#N/A,#N/A,TRUE,"7-2";#N/A,#N/A,TRUE,"8.";#N/A,#N/A,TRUE,"9."}</definedName>
    <definedName name="구조외업G" hidden="1">{#N/A,#N/A,TRUE,"LOADCOVE";#N/A,#N/A,TRUE,"PAGE001";#N/A,#N/A,TRUE,"PAGE002";#N/A,#N/A,TRUE,"PAGE003";#N/A,#N/A,TRUE,"PAGE004";#N/A,#N/A,TRUE,"PAGE005";#N/A,#N/A,TRUE,"PAGE006";#N/A,#N/A,TRUE,"PAGE007";#N/A,#N/A,TRUE,"PAGE008";#N/A,#N/A,TRUE,"PAGE009";#N/A,#N/A,TRUE,"PAGE010";#N/A,#N/A,TRUE,"PAGE011";#N/A,#N/A,TRUE,"PAGE012";#N/A,#N/A,TRUE,"PAGE013"}</definedName>
    <definedName name="구축방안" hidden="1">{"'호선별현황(방식)'!$K$22:$P$22","'호선별현황(방식)'!$K$22:$P$22"}</definedName>
    <definedName name="권혁중" hidden="1">{#N/A,#N/A,TRUE,"목차";#N/A,#N/A,TRUE,"1.";#N/A,#N/A,TRUE,"2.";#N/A,#N/A,TRUE,"3.";#N/A,#N/A,TRUE,"4-1";#N/A,#N/A,TRUE,"-2";#N/A,#N/A,TRUE,"-3";#N/A,#N/A,TRUE,"-4";#N/A,#N/A,TRUE,"5-1";#N/A,#N/A,TRUE,"5-2";#N/A,#N/A,TRUE,"6-1";#N/A,#N/A,TRUE,"6-2";#N/A,#N/A,TRUE,"7-1";#N/A,#N/A,TRUE,"7-2";#N/A,#N/A,TRUE,"8.";#N/A,#N/A,TRUE,"9."}</definedName>
    <definedName name="그래" hidden="1">{"'매출계획'!$D$2"}</definedName>
    <definedName name="그래프" hidden="1">{#N/A,#N/A,TRUE,"LOADCOVE";#N/A,#N/A,TRUE,"PAGE001";#N/A,#N/A,TRUE,"PAGE002";#N/A,#N/A,TRUE,"PAGE003";#N/A,#N/A,TRUE,"PAGE004";#N/A,#N/A,TRUE,"PAGE005";#N/A,#N/A,TRUE,"PAGE006";#N/A,#N/A,TRUE,"PAGE007";#N/A,#N/A,TRUE,"PAGE008";#N/A,#N/A,TRUE,"PAGE009";#N/A,#N/A,TRUE,"PAGE010";#N/A,#N/A,TRUE,"PAGE011";#N/A,#N/A,TRUE,"PAGE012";#N/A,#N/A,TRUE,"PAGE013"}</definedName>
    <definedName name="그래프222" hidden="1">{#N/A,#N/A,TRUE,"LOADCOVE";#N/A,#N/A,TRUE,"PAGE001";#N/A,#N/A,TRUE,"PAGE002";#N/A,#N/A,TRUE,"PAGE003";#N/A,#N/A,TRUE,"PAGE004";#N/A,#N/A,TRUE,"PAGE005";#N/A,#N/A,TRUE,"PAGE006";#N/A,#N/A,TRUE,"PAGE007";#N/A,#N/A,TRUE,"PAGE008";#N/A,#N/A,TRUE,"PAGE009";#N/A,#N/A,TRUE,"PAGE010";#N/A,#N/A,TRUE,"PAGE011";#N/A,#N/A,TRUE,"PAGE012";#N/A,#N/A,TRUE,"PAGE013"}</definedName>
    <definedName name="그래프2222" hidden="1">{#N/A,#N/A,TRUE,"LOADCOVE";#N/A,#N/A,TRUE,"PAGE001";#N/A,#N/A,TRUE,"PAGE002";#N/A,#N/A,TRUE,"PAGE003";#N/A,#N/A,TRUE,"PAGE004";#N/A,#N/A,TRUE,"PAGE005";#N/A,#N/A,TRUE,"PAGE006";#N/A,#N/A,TRUE,"PAGE007";#N/A,#N/A,TRUE,"PAGE008";#N/A,#N/A,TRUE,"PAGE009";#N/A,#N/A,TRUE,"PAGE010";#N/A,#N/A,TRUE,"PAGE011";#N/A,#N/A,TRUE,"PAGE012";#N/A,#N/A,TRUE,"PAGE013"}</definedName>
    <definedName name="그래프그리기" hidden="1">{#N/A,#N/A,TRUE,"LOADCOVE";#N/A,#N/A,TRUE,"PAGE001";#N/A,#N/A,TRUE,"PAGE002";#N/A,#N/A,TRUE,"PAGE003";#N/A,#N/A,TRUE,"PAGE004";#N/A,#N/A,TRUE,"PAGE005";#N/A,#N/A,TRUE,"PAGE006";#N/A,#N/A,TRUE,"PAGE007";#N/A,#N/A,TRUE,"PAGE008";#N/A,#N/A,TRUE,"PAGE009";#N/A,#N/A,TRUE,"PAGE010";#N/A,#N/A,TRUE,"PAGE011";#N/A,#N/A,TRUE,"PAGE012";#N/A,#N/A,TRUE,"PAGE013"}</definedName>
    <definedName name="그물망" hidden="1">{#N/A,#N/A,TRUE,"목차";#N/A,#N/A,TRUE,"1.";#N/A,#N/A,TRUE,"2.";#N/A,#N/A,TRUE,"3.";#N/A,#N/A,TRUE,"4-1";#N/A,#N/A,TRUE,"-2";#N/A,#N/A,TRUE,"-3";#N/A,#N/A,TRUE,"-4";#N/A,#N/A,TRUE,"5-1";#N/A,#N/A,TRUE,"5-2";#N/A,#N/A,TRUE,"6-1";#N/A,#N/A,TRUE,"6-2";#N/A,#N/A,TRUE,"7-1";#N/A,#N/A,TRUE,"7-2";#N/A,#N/A,TRUE,"8.";#N/A,#N/A,TRUE,"9."}</definedName>
    <definedName name="근골2" hidden="1">{#N/A,#N/A,TRUE,"목차";#N/A,#N/A,TRUE,"1.";#N/A,#N/A,TRUE,"2.";#N/A,#N/A,TRUE,"3.";#N/A,#N/A,TRUE,"4-1";#N/A,#N/A,TRUE,"-2";#N/A,#N/A,TRUE,"-3";#N/A,#N/A,TRUE,"-4";#N/A,#N/A,TRUE,"5-1";#N/A,#N/A,TRUE,"5-2";#N/A,#N/A,TRUE,"6-1";#N/A,#N/A,TRUE,"6-2";#N/A,#N/A,TRUE,"7-1";#N/A,#N/A,TRUE,"7-2";#N/A,#N/A,TRUE,"8.";#N/A,#N/A,TRUE,"9."}</definedName>
    <definedName name="금주능율"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공" hidden="1">#REF!</definedName>
    <definedName name="기록" hidden="1">{#N/A,#N/A,TRUE,"LOADCOVE";#N/A,#N/A,TRUE,"PAGE001";#N/A,#N/A,TRUE,"PAGE002";#N/A,#N/A,TRUE,"PAGE003";#N/A,#N/A,TRUE,"PAGE004";#N/A,#N/A,TRUE,"PAGE005";#N/A,#N/A,TRUE,"PAGE006";#N/A,#N/A,TRUE,"PAGE007";#N/A,#N/A,TRUE,"PAGE008";#N/A,#N/A,TRUE,"PAGE009";#N/A,#N/A,TRUE,"PAGE010";#N/A,#N/A,TRUE,"PAGE011";#N/A,#N/A,TRUE,"PAGE012";#N/A,#N/A,TRUE,"PAGE013"}</definedName>
    <definedName name="기본선표1" hidden="1">{#N/A,#N/A,TRUE,"LOADCOVE";#N/A,#N/A,TRUE,"PAGE001";#N/A,#N/A,TRUE,"PAGE002";#N/A,#N/A,TRUE,"PAGE003";#N/A,#N/A,TRUE,"PAGE004";#N/A,#N/A,TRUE,"PAGE005";#N/A,#N/A,TRUE,"PAGE006";#N/A,#N/A,TRUE,"PAGE007";#N/A,#N/A,TRUE,"PAGE008";#N/A,#N/A,TRUE,"PAGE009";#N/A,#N/A,TRUE,"PAGE010";#N/A,#N/A,TRUE,"PAGE011";#N/A,#N/A,TRUE,"PAGE012";#N/A,#N/A,TRUE,"PAGE013"}</definedName>
    <definedName name="기본선표2" hidden="1">{#N/A,#N/A,TRUE,"LOADCOVE";#N/A,#N/A,TRUE,"PAGE001";#N/A,#N/A,TRUE,"PAGE002";#N/A,#N/A,TRUE,"PAGE003";#N/A,#N/A,TRUE,"PAGE004";#N/A,#N/A,TRUE,"PAGE005";#N/A,#N/A,TRUE,"PAGE006";#N/A,#N/A,TRUE,"PAGE007";#N/A,#N/A,TRUE,"PAGE008";#N/A,#N/A,TRUE,"PAGE009";#N/A,#N/A,TRUE,"PAGE010";#N/A,#N/A,TRUE,"PAGE011";#N/A,#N/A,TRUE,"PAGE012";#N/A,#N/A,TRUE,"PAGE013"}</definedName>
    <definedName name="기본설계1부완료과제현황" hidden="1">{#N/A,#N/A,TRUE,"목차";#N/A,#N/A,TRUE,"1.";#N/A,#N/A,TRUE,"2.";#N/A,#N/A,TRUE,"3.";#N/A,#N/A,TRUE,"4-1";#N/A,#N/A,TRUE,"-2";#N/A,#N/A,TRUE,"-3";#N/A,#N/A,TRUE,"-4";#N/A,#N/A,TRUE,"5-1";#N/A,#N/A,TRUE,"5-2";#N/A,#N/A,TRUE,"6-1";#N/A,#N/A,TRUE,"6-2";#N/A,#N/A,TRUE,"7-1";#N/A,#N/A,TRUE,"7-2";#N/A,#N/A,TRUE,"8.";#N/A,#N/A,TRUE,"9."}</definedName>
    <definedName name="기술" hidden="1">{#N/A,#N/A,TRUE,"목차";#N/A,#N/A,TRUE,"1.";#N/A,#N/A,TRUE,"2.";#N/A,#N/A,TRUE,"3.";#N/A,#N/A,TRUE,"4-1";#N/A,#N/A,TRUE,"-2";#N/A,#N/A,TRUE,"-3";#N/A,#N/A,TRUE,"-4";#N/A,#N/A,TRUE,"5-1";#N/A,#N/A,TRUE,"5-2";#N/A,#N/A,TRUE,"6-1";#N/A,#N/A,TRUE,"6-2";#N/A,#N/A,TRUE,"7-1";#N/A,#N/A,TRUE,"7-2";#N/A,#N/A,TRUE,"8.";#N/A,#N/A,TRUE,"9."}</definedName>
    <definedName name="기술개발부완료과제현황" hidden="1">{#N/A,#N/A,TRUE,"목차";#N/A,#N/A,TRUE,"1.";#N/A,#N/A,TRUE,"2.";#N/A,#N/A,TRUE,"3.";#N/A,#N/A,TRUE,"4-1";#N/A,#N/A,TRUE,"-2";#N/A,#N/A,TRUE,"-3";#N/A,#N/A,TRUE,"-4";#N/A,#N/A,TRUE,"5-1";#N/A,#N/A,TRUE,"5-2";#N/A,#N/A,TRUE,"6-1";#N/A,#N/A,TRUE,"6-2";#N/A,#N/A,TRUE,"7-1";#N/A,#N/A,TRUE,"7-2";#N/A,#N/A,TRUE,"8.";#N/A,#N/A,TRUE,"9."}</definedName>
    <definedName name="기술개발표지" hidden="1">{#N/A,#N/A,TRUE,"목차";#N/A,#N/A,TRUE,"1.";#N/A,#N/A,TRUE,"2.";#N/A,#N/A,TRUE,"3.";#N/A,#N/A,TRUE,"4-1";#N/A,#N/A,TRUE,"-2";#N/A,#N/A,TRUE,"-3";#N/A,#N/A,TRUE,"-4";#N/A,#N/A,TRUE,"5-1";#N/A,#N/A,TRUE,"5-2";#N/A,#N/A,TRUE,"6-1";#N/A,#N/A,TRUE,"6-2";#N/A,#N/A,TRUE,"7-1";#N/A,#N/A,TRUE,"7-2";#N/A,#N/A,TRUE,"8.";#N/A,#N/A,TRUE,"9."}</definedName>
    <definedName name="기술관리부" hidden="1">{"'호선별현황(방식)'!$K$22:$P$22","'호선별현황(방식)'!$K$22:$P$22"}</definedName>
    <definedName name="기장" hidden="1">{"'매출계획'!$D$2"}</definedName>
    <definedName name="기장1" hidden="1">{"'매출계획'!$D$2"}</definedName>
    <definedName name="기장분석1" hidden="1">{"'매출계획'!$D$2"}</definedName>
    <definedName name="기준2" hidden="1">{"'매출계획'!$D$2"}</definedName>
    <definedName name="김명수" hidden="1">{#N/A,#N/A,TRUE,"목차";#N/A,#N/A,TRUE,"1.";#N/A,#N/A,TRUE,"2.";#N/A,#N/A,TRUE,"3.";#N/A,#N/A,TRUE,"4-1";#N/A,#N/A,TRUE,"-2";#N/A,#N/A,TRUE,"-3";#N/A,#N/A,TRUE,"-4";#N/A,#N/A,TRUE,"5-1";#N/A,#N/A,TRUE,"5-2";#N/A,#N/A,TRUE,"6-1";#N/A,#N/A,TRUE,"6-2";#N/A,#N/A,TRUE,"7-1";#N/A,#N/A,TRUE,"7-2";#N/A,#N/A,TRUE,"8.";#N/A,#N/A,TRUE,"9."}</definedName>
    <definedName name="김원래" hidden="1">{"'매출계획'!$D$2"}</definedName>
    <definedName name="김진태" hidden="1">{"'매출계획'!$D$2"}</definedName>
    <definedName name="ㄳ" hidden="1">{#N/A,#N/A,TRUE,"LOADCOVE";#N/A,#N/A,TRUE,"PAGE001";#N/A,#N/A,TRUE,"PAGE002";#N/A,#N/A,TRUE,"PAGE003";#N/A,#N/A,TRUE,"PAGE004";#N/A,#N/A,TRUE,"PAGE005";#N/A,#N/A,TRUE,"PAGE006";#N/A,#N/A,TRUE,"PAGE007";#N/A,#N/A,TRUE,"PAGE008";#N/A,#N/A,TRUE,"PAGE009";#N/A,#N/A,TRUE,"PAGE010";#N/A,#N/A,TRUE,"PAGE011";#N/A,#N/A,TRUE,"PAGE012";#N/A,#N/A,TRUE,"PAGE013"}</definedName>
    <definedName name="ㄳㄳ" hidden="1">{#N/A,#N/A,TRUE,"LOADCOVE";#N/A,#N/A,TRUE,"PAGE001";#N/A,#N/A,TRUE,"PAGE002";#N/A,#N/A,TRUE,"PAGE003";#N/A,#N/A,TRUE,"PAGE004";#N/A,#N/A,TRUE,"PAGE005";#N/A,#N/A,TRUE,"PAGE006";#N/A,#N/A,TRUE,"PAGE007";#N/A,#N/A,TRUE,"PAGE008";#N/A,#N/A,TRUE,"PAGE009";#N/A,#N/A,TRUE,"PAGE010";#N/A,#N/A,TRUE,"PAGE011";#N/A,#N/A,TRUE,"PAGE012";#N/A,#N/A,TRUE,"PAGE013"}</definedName>
    <definedName name="ㄴㄴ" hidden="1">{#N/A,#N/A,FALSE,"DISCI종합";#N/A,#N/A,FALSE,"배관";#N/A,#N/A,FALSE,"전기계장";#N/A,#N/A,FALSE,"기계";#N/A,#N/A,FALSE,"철의장";#N/A,#N/A,FALSE,"거주구";#N/A,#N/A,FALSE,"HVAC"}</definedName>
    <definedName name="ㄴㄴㄴ" hidden="1">{"'매출계획'!$D$2"}</definedName>
    <definedName name="ㄴㄴㄴㄴ" hidden="1">#REF!</definedName>
    <definedName name="ㄴㄴㅇㄴㅇㄴㅇㄴ" hidden="1">{"'매출계획'!$D$2"}</definedName>
    <definedName name="ㄴㄷㄳ" hidden="1">{"'매출계획'!$D$2"}</definedName>
    <definedName name="ㄴㄷㄹ" hidden="1">{"'매출계획'!$D$2"}</definedName>
    <definedName name="ㄴㄷㅈㅁ" hidden="1">{#N/A,#N/A,TRUE,"LOADCOVE";#N/A,#N/A,TRUE,"PAGE001";#N/A,#N/A,TRUE,"PAGE002";#N/A,#N/A,TRUE,"PAGE003";#N/A,#N/A,TRUE,"PAGE004";#N/A,#N/A,TRUE,"PAGE005";#N/A,#N/A,TRUE,"PAGE006";#N/A,#N/A,TRUE,"PAGE007";#N/A,#N/A,TRUE,"PAGE008";#N/A,#N/A,TRUE,"PAGE009";#N/A,#N/A,TRUE,"PAGE010";#N/A,#N/A,TRUE,"PAGE011";#N/A,#N/A,TRUE,"PAGE012";#N/A,#N/A,TRUE,"PAGE013"}</definedName>
    <definedName name="ㄴㄹㄹ" hidden="1">{"'매출계획'!$D$2"}</definedName>
    <definedName name="ㄴㅀ" hidden="1">{"'매출계획'!$D$2"}</definedName>
    <definedName name="ㄴ석ㅎ" hidden="1">{"'매출계획'!$D$2"}</definedName>
    <definedName name="ㄴㅇㄹㅇㄴ" hidden="1">{"'매출계획'!$D$2"}</definedName>
    <definedName name="ㄴㅇㄹ호" hidden="1">{"'매출계획'!$D$2"}</definedName>
    <definedName name="ㄴㅇ론ㄹ" hidden="1">{"'매출계획'!$D$2"}</definedName>
    <definedName name="ㄴㅇㅀ" hidden="1">{"'매출계획'!$D$2"}</definedName>
    <definedName name="ㄴㅇㅁ" hidden="1">{"'매출계획'!$D$2"}</definedName>
    <definedName name="ㄴㅇㅁㄹㄹㄹㄹㄹ" hidden="1">#REF!</definedName>
    <definedName name="ㄴㅇㅁㅁㄴ" hidden="1">{"'매출계획'!$D$2"}</definedName>
    <definedName name="ㄴㅇㅁㅇㅁㄴ" hidden="1">{"'매출계획'!$D$2"}</definedName>
    <definedName name="ㄴㅇㅎ" hidden="1">{"'매출계획'!$D$2"}</definedName>
    <definedName name="나" hidden="1">{"'호선별현황(방식)'!$K$22:$P$22","'호선별현황(방식)'!$K$22:$P$22"}</definedName>
    <definedName name="나나" hidden="1">{"'매출계획'!$D$2"}</definedName>
    <definedName name="남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납기별" hidden="1">{#N/A,#N/A,TRUE,"LOADCOVE";#N/A,#N/A,TRUE,"PAGE001";#N/A,#N/A,TRUE,"PAGE002";#N/A,#N/A,TRUE,"PAGE003";#N/A,#N/A,TRUE,"PAGE004";#N/A,#N/A,TRUE,"PAGE005";#N/A,#N/A,TRUE,"PAGE006";#N/A,#N/A,TRUE,"PAGE007";#N/A,#N/A,TRUE,"PAGE008";#N/A,#N/A,TRUE,"PAGE009";#N/A,#N/A,TRUE,"PAGE010";#N/A,#N/A,TRUE,"PAGE011";#N/A,#N/A,TRUE,"PAGE012";#N/A,#N/A,TRUE,"PAGE013"}</definedName>
    <definedName name="내업6" hidden="1">{#N/A,#N/A,TRUE,"목차";#N/A,#N/A,TRUE,"1.";#N/A,#N/A,TRUE,"2.";#N/A,#N/A,TRUE,"3.";#N/A,#N/A,TRUE,"4-1";#N/A,#N/A,TRUE,"-2";#N/A,#N/A,TRUE,"-3";#N/A,#N/A,TRUE,"-4";#N/A,#N/A,TRUE,"5-1";#N/A,#N/A,TRUE,"5-2";#N/A,#N/A,TRUE,"6-1";#N/A,#N/A,TRUE,"6-2";#N/A,#N/A,TRUE,"7-1";#N/A,#N/A,TRUE,"7-2";#N/A,#N/A,TRUE,"8.";#N/A,#N/A,TRUE,"9."}</definedName>
    <definedName name="내업CAPA" hidden="1">{#N/A,#N/A,TRUE,"LOADCOVE";#N/A,#N/A,TRUE,"PAGE001";#N/A,#N/A,TRUE,"PAGE002";#N/A,#N/A,TRUE,"PAGE003";#N/A,#N/A,TRUE,"PAGE004";#N/A,#N/A,TRUE,"PAGE005";#N/A,#N/A,TRUE,"PAGE006";#N/A,#N/A,TRUE,"PAGE007";#N/A,#N/A,TRUE,"PAGE008";#N/A,#N/A,TRUE,"PAGE009";#N/A,#N/A,TRUE,"PAGE010";#N/A,#N/A,TRUE,"PAGE011";#N/A,#N/A,TRUE,"PAGE012";#N/A,#N/A,TRUE,"PAGE013"}</definedName>
    <definedName name="내업H0227" hidden="1">{"'매출계획'!$D$2"}</definedName>
    <definedName name="내업주5" hidden="1">{#N/A,#N/A,TRUE,"목차";#N/A,#N/A,TRUE,"1.";#N/A,#N/A,TRUE,"2.";#N/A,#N/A,TRUE,"3.";#N/A,#N/A,TRUE,"4-1";#N/A,#N/A,TRUE,"-2";#N/A,#N/A,TRUE,"-3";#N/A,#N/A,TRUE,"-4";#N/A,#N/A,TRUE,"5-1";#N/A,#N/A,TRUE,"5-2";#N/A,#N/A,TRUE,"6-1";#N/A,#N/A,TRUE,"6-2";#N/A,#N/A,TRUE,"7-1";#N/A,#N/A,TRUE,"7-2";#N/A,#N/A,TRUE,"8.";#N/A,#N/A,TRUE,"9."}</definedName>
    <definedName name="너" hidden="1">{"'호선별현황(방식)'!$K$22:$P$22","'호선별현황(방식)'!$K$22:$P$22"}</definedName>
    <definedName name="네임3" hidden="1">{#N/A,#N/A,TRUE,"목차";#N/A,#N/A,TRUE,"1.";#N/A,#N/A,TRUE,"2.";#N/A,#N/A,TRUE,"3.";#N/A,#N/A,TRUE,"4-1";#N/A,#N/A,TRUE,"-2";#N/A,#N/A,TRUE,"-3";#N/A,#N/A,TRUE,"-4";#N/A,#N/A,TRUE,"5-1";#N/A,#N/A,TRUE,"5-2";#N/A,#N/A,TRUE,"6-1";#N/A,#N/A,TRUE,"6-2";#N/A,#N/A,TRUE,"7-1";#N/A,#N/A,TRUE,"7-2";#N/A,#N/A,TRUE,"8.";#N/A,#N/A,TRUE,"9."}</definedName>
    <definedName name="네임4" hidden="1">{#N/A,#N/A,TRUE,"목차";#N/A,#N/A,TRUE,"1.";#N/A,#N/A,TRUE,"2.";#N/A,#N/A,TRUE,"3.";#N/A,#N/A,TRUE,"4-1";#N/A,#N/A,TRUE,"-2";#N/A,#N/A,TRUE,"-3";#N/A,#N/A,TRUE,"-4";#N/A,#N/A,TRUE,"5-1";#N/A,#N/A,TRUE,"5-2";#N/A,#N/A,TRUE,"6-1";#N/A,#N/A,TRUE,"6-2";#N/A,#N/A,TRUE,"7-1";#N/A,#N/A,TRUE,"7-2";#N/A,#N/A,TRUE,"8.";#N/A,#N/A,TRUE,"9."}</definedName>
    <definedName name="노" hidden="1">{#N/A,#N/A,TRUE,"LOADCOVE";#N/A,#N/A,TRUE,"PAGE001";#N/A,#N/A,TRUE,"PAGE002";#N/A,#N/A,TRUE,"PAGE003";#N/A,#N/A,TRUE,"PAGE004";#N/A,#N/A,TRUE,"PAGE005";#N/A,#N/A,TRUE,"PAGE006";#N/A,#N/A,TRUE,"PAGE007";#N/A,#N/A,TRUE,"PAGE008";#N/A,#N/A,TRUE,"PAGE009";#N/A,#N/A,TRUE,"PAGE010";#N/A,#N/A,TRUE,"PAGE011";#N/A,#N/A,TRUE,"PAGE012";#N/A,#N/A,TRUE,"PAGE013"}</definedName>
    <definedName name="노무비" hidden="1">{#N/A,#N/A,TRUE,"LOADCOVE";#N/A,#N/A,TRUE,"PAGE001";#N/A,#N/A,TRUE,"PAGE002";#N/A,#N/A,TRUE,"PAGE003";#N/A,#N/A,TRUE,"PAGE004";#N/A,#N/A,TRUE,"PAGE005";#N/A,#N/A,TRUE,"PAGE006";#N/A,#N/A,TRUE,"PAGE007";#N/A,#N/A,TRUE,"PAGE008";#N/A,#N/A,TRUE,"PAGE009";#N/A,#N/A,TRUE,"PAGE010";#N/A,#N/A,TRUE,"PAGE011";#N/A,#N/A,TRUE,"PAGE012";#N/A,#N/A,TRUE,"PAGE013"}</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재홍" hidden="1">{#N/A,#N/A,TRUE,"목차";#N/A,#N/A,TRUE,"1.";#N/A,#N/A,TRUE,"2.";#N/A,#N/A,TRUE,"3.";#N/A,#N/A,TRUE,"4-1";#N/A,#N/A,TRUE,"-2";#N/A,#N/A,TRUE,"-3";#N/A,#N/A,TRUE,"-4";#N/A,#N/A,TRUE,"5-1";#N/A,#N/A,TRUE,"5-2";#N/A,#N/A,TRUE,"6-1";#N/A,#N/A,TRUE,"6-2";#N/A,#N/A,TRUE,"7-1";#N/A,#N/A,TRUE,"7-2";#N/A,#N/A,TRUE,"8.";#N/A,#N/A,TRUE,"9."}</definedName>
    <definedName name="능율" hidden="1">{#N/A,#N/A,TRUE,"LOADCOVE";#N/A,#N/A,TRUE,"PAGE001";#N/A,#N/A,TRUE,"PAGE002";#N/A,#N/A,TRUE,"PAGE003";#N/A,#N/A,TRUE,"PAGE004";#N/A,#N/A,TRUE,"PAGE005";#N/A,#N/A,TRUE,"PAGE006";#N/A,#N/A,TRUE,"PAGE007";#N/A,#N/A,TRUE,"PAGE008";#N/A,#N/A,TRUE,"PAGE009";#N/A,#N/A,TRUE,"PAGE010";#N/A,#N/A,TRUE,"PAGE011";#N/A,#N/A,TRUE,"PAGE012";#N/A,#N/A,TRUE,"PAGE013"}</definedName>
    <definedName name="ㄶㅇ" hidden="1">{#N/A,#N/A,TRUE,"목차";#N/A,#N/A,TRUE,"1.";#N/A,#N/A,TRUE,"2.";#N/A,#N/A,TRUE,"3.";#N/A,#N/A,TRUE,"4-1";#N/A,#N/A,TRUE,"-2";#N/A,#N/A,TRUE,"-3";#N/A,#N/A,TRUE,"-4";#N/A,#N/A,TRUE,"5-1";#N/A,#N/A,TRUE,"5-2";#N/A,#N/A,TRUE,"6-1";#N/A,#N/A,TRUE,"6-2";#N/A,#N/A,TRUE,"7-1";#N/A,#N/A,TRUE,"7-2";#N/A,#N/A,TRUE,"8.";#N/A,#N/A,TRUE,"9."}</definedName>
    <definedName name="ㄷㄱ" hidden="1">{"'매출계획'!$D$2"}</definedName>
    <definedName name="ㄷㄱㄱ" hidden="1">{"'매출계획'!$D$2"}</definedName>
    <definedName name="ㄷㄳ" hidden="1">{"'매출계획'!$D$2"}</definedName>
    <definedName name="ㄷㄴ" hidden="1">{"'매출계획'!$D$2"}</definedName>
    <definedName name="ㄷㄷㄷㄷㄷ" hidden="1">{"'매출계획'!$D$2"}</definedName>
    <definedName name="ㄷㄷㄷㄷㄷㄷㄷ" hidden="1">{#N/A,#N/A,TRUE,"LOADCOVE";#N/A,#N/A,TRUE,"PAGE001";#N/A,#N/A,TRUE,"PAGE002";#N/A,#N/A,TRUE,"PAGE003";#N/A,#N/A,TRUE,"PAGE004";#N/A,#N/A,TRUE,"PAGE005";#N/A,#N/A,TRUE,"PAGE006";#N/A,#N/A,TRUE,"PAGE007";#N/A,#N/A,TRUE,"PAGE008";#N/A,#N/A,TRUE,"PAGE009";#N/A,#N/A,TRUE,"PAGE010";#N/A,#N/A,TRUE,"PAGE011";#N/A,#N/A,TRUE,"PAGE012";#N/A,#N/A,TRUE,"PAGE013"}</definedName>
    <definedName name="ㄷㄷ호" hidden="1">{#N/A,#N/A,TRUE,"목차";#N/A,#N/A,TRUE,"1.";#N/A,#N/A,TRUE,"2.";#N/A,#N/A,TRUE,"3.";#N/A,#N/A,TRUE,"4-1";#N/A,#N/A,TRUE,"-2";#N/A,#N/A,TRUE,"-3";#N/A,#N/A,TRUE,"-4";#N/A,#N/A,TRUE,"5-1";#N/A,#N/A,TRUE,"5-2";#N/A,#N/A,TRUE,"6-1";#N/A,#N/A,TRUE,"6-2";#N/A,#N/A,TRUE,"7-1";#N/A,#N/A,TRUE,"7-2";#N/A,#N/A,TRUE,"8.";#N/A,#N/A,TRUE,"9."}</definedName>
    <definedName name="ㄷㅈ" hidden="1">{#N/A,#N/A,TRUE,"목차";#N/A,#N/A,TRUE,"1.";#N/A,#N/A,TRUE,"2.";#N/A,#N/A,TRUE,"3.";#N/A,#N/A,TRUE,"4-1";#N/A,#N/A,TRUE,"-2";#N/A,#N/A,TRUE,"-3";#N/A,#N/A,TRUE,"-4";#N/A,#N/A,TRUE,"5-1";#N/A,#N/A,TRUE,"5-2";#N/A,#N/A,TRUE,"6-1";#N/A,#N/A,TRUE,"6-2";#N/A,#N/A,TRUE,"7-1";#N/A,#N/A,TRUE,"7-2";#N/A,#N/A,TRUE,"8.";#N/A,#N/A,TRUE,"9."}</definedName>
    <definedName name="ㄷㅈㅂㅈ" hidden="1">{#N/A,#N/A,TRUE,"목차";#N/A,#N/A,TRUE,"1.";#N/A,#N/A,TRUE,"2.";#N/A,#N/A,TRUE,"3.";#N/A,#N/A,TRUE,"4-1";#N/A,#N/A,TRUE,"-2";#N/A,#N/A,TRUE,"-3";#N/A,#N/A,TRUE,"-4";#N/A,#N/A,TRUE,"5-1";#N/A,#N/A,TRUE,"5-2";#N/A,#N/A,TRUE,"6-1";#N/A,#N/A,TRUE,"6-2";#N/A,#N/A,TRUE,"7-1";#N/A,#N/A,TRUE,"7-2";#N/A,#N/A,TRUE,"8.";#N/A,#N/A,TRUE,"9."}</definedName>
    <definedName name="ㄷㅈㅈ" hidden="1">{#N/A,#N/A,TRUE,"목차";#N/A,#N/A,TRUE,"1.";#N/A,#N/A,TRUE,"2.";#N/A,#N/A,TRUE,"3.";#N/A,#N/A,TRUE,"4-1";#N/A,#N/A,TRUE,"-2";#N/A,#N/A,TRUE,"-3";#N/A,#N/A,TRUE,"-4";#N/A,#N/A,TRUE,"5-1";#N/A,#N/A,TRUE,"5-2";#N/A,#N/A,TRUE,"6-1";#N/A,#N/A,TRUE,"6-2";#N/A,#N/A,TRUE,"7-1";#N/A,#N/A,TRUE,"7-2";#N/A,#N/A,TRUE,"8.";#N/A,#N/A,TRUE,"9."}</definedName>
    <definedName name="단기금융상품" hidden="1">{"'매출계획'!$D$2"}</definedName>
    <definedName name="당사" hidden="1">{"'매출계획'!$D$2"}</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조립부" hidden="1">{"'호선별현황(방식)'!$K$22:$P$22","'호선별현황(방식)'!$K$22:$P$22"}</definedName>
    <definedName name="대조세부1" hidden="1">{#N/A,#N/A,TRUE,"LOADCOVE";#N/A,#N/A,TRUE,"PAGE001";#N/A,#N/A,TRUE,"PAGE002";#N/A,#N/A,TRUE,"PAGE003";#N/A,#N/A,TRUE,"PAGE004";#N/A,#N/A,TRUE,"PAGE005";#N/A,#N/A,TRUE,"PAGE006";#N/A,#N/A,TRUE,"PAGE007";#N/A,#N/A,TRUE,"PAGE008";#N/A,#N/A,TRUE,"PAGE009";#N/A,#N/A,TRUE,"PAGE010";#N/A,#N/A,TRUE,"PAGE011";#N/A,#N/A,TRUE,"PAGE012";#N/A,#N/A,TRUE,"PAGE013"}</definedName>
    <definedName name="대책" hidden="1">{#N/A,#N/A,TRUE,"목차";#N/A,#N/A,TRUE,"1.";#N/A,#N/A,TRUE,"2.";#N/A,#N/A,TRUE,"3.";#N/A,#N/A,TRUE,"4-1";#N/A,#N/A,TRUE,"-2";#N/A,#N/A,TRUE,"-3";#N/A,#N/A,TRUE,"-4";#N/A,#N/A,TRUE,"5-1";#N/A,#N/A,TRUE,"5-2";#N/A,#N/A,TRUE,"6-1";#N/A,#N/A,TRUE,"6-2";#N/A,#N/A,TRUE,"7-1";#N/A,#N/A,TRUE,"7-2";#N/A,#N/A,TRUE,"8.";#N/A,#N/A,TRUE,"9."}</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대책21" hidden="1">{#N/A,#N/A,TRUE,"LOADCOVE";#N/A,#N/A,TRUE,"PAGE001";#N/A,#N/A,TRUE,"PAGE002";#N/A,#N/A,TRUE,"PAGE003";#N/A,#N/A,TRUE,"PAGE004";#N/A,#N/A,TRUE,"PAGE005";#N/A,#N/A,TRUE,"PAGE006";#N/A,#N/A,TRUE,"PAGE007";#N/A,#N/A,TRUE,"PAGE008";#N/A,#N/A,TRUE,"PAGE009";#N/A,#N/A,TRUE,"PAGE010";#N/A,#N/A,TRUE,"PAGE011";#N/A,#N/A,TRUE,"PAGE012";#N/A,#N/A,TRUE,"PAGE013"}</definedName>
    <definedName name="대형굴삭기" hidden="1">{#N/A,#N/A,TRUE,"목차";#N/A,#N/A,TRUE,"1.";#N/A,#N/A,TRUE,"2.";#N/A,#N/A,TRUE,"3.";#N/A,#N/A,TRUE,"4-1";#N/A,#N/A,TRUE,"-2";#N/A,#N/A,TRUE,"-3";#N/A,#N/A,TRUE,"-4";#N/A,#N/A,TRUE,"5-1";#N/A,#N/A,TRUE,"5-2";#N/A,#N/A,TRUE,"6-1";#N/A,#N/A,TRUE,"6-2";#N/A,#N/A,TRUE,"7-1";#N/A,#N/A,TRUE,"7-2";#N/A,#N/A,TRUE,"8.";#N/A,#N/A,TRUE,"9."}</definedName>
    <definedName name="더1" hidden="1">{"'매출계획'!$D$2"}</definedName>
    <definedName name="더러머" hidden="1">{"'매출계획'!$D$2"}</definedName>
    <definedName name="덕" hidden="1">{#N/A,#N/A,FALSE,"지침";#N/A,#N/A,FALSE,"환경분석";#N/A,#N/A,FALSE,"Sheet16"}</definedName>
    <definedName name="도장" hidden="1">{"'매출계획'!$D$2"}</definedName>
    <definedName name="도장1" hidden="1">{#N/A,#N/A,TRUE,"LOADCOVE";#N/A,#N/A,TRUE,"PAGE001";#N/A,#N/A,TRUE,"PAGE002";#N/A,#N/A,TRUE,"PAGE003";#N/A,#N/A,TRUE,"PAGE004";#N/A,#N/A,TRUE,"PAGE005";#N/A,#N/A,TRUE,"PAGE006";#N/A,#N/A,TRUE,"PAGE007";#N/A,#N/A,TRUE,"PAGE008";#N/A,#N/A,TRUE,"PAGE009";#N/A,#N/A,TRUE,"PAGE010";#N/A,#N/A,TRUE,"PAGE011";#N/A,#N/A,TRUE,"PAGE012";#N/A,#N/A,TRUE,"PAGE013"}</definedName>
    <definedName name="도장151" hidden="1">{"'매출계획'!$D$2"}</definedName>
    <definedName name="도장152" hidden="1">{"'매출계획'!$D$2"}</definedName>
    <definedName name="도장3" hidden="1">{"'매출계획'!$D$2"}</definedName>
    <definedName name="도장계획" hidden="1">{"'매출계획'!$D$2"}</definedName>
    <definedName name="도장부" hidden="1">{"'호선별현황(방식)'!$K$22:$P$22","'호선별현황(방식)'!$K$22:$P$22"}</definedName>
    <definedName name="도장신" hidden="1">{"'매출계획'!$D$2"}</definedName>
    <definedName name="도장재료비" hidden="1">{#N/A,#N/A,FALSE,"손익계획";#N/A,#N/A,FALSE,"수익계획";#N/A,#N/A,FALSE,"실적분석"}</definedName>
    <definedName name="도장철의장" hidden="1">{#N/A,#N/A,TRUE,"목차";#N/A,#N/A,TRUE,"1.";#N/A,#N/A,TRUE,"2.";#N/A,#N/A,TRUE,"3.";#N/A,#N/A,TRUE,"4-1";#N/A,#N/A,TRUE,"-2";#N/A,#N/A,TRUE,"-3";#N/A,#N/A,TRUE,"-4";#N/A,#N/A,TRUE,"5-1";#N/A,#N/A,TRUE,"5-2";#N/A,#N/A,TRUE,"6-1";#N/A,#N/A,TRUE,"6-2";#N/A,#N/A,TRUE,"7-1";#N/A,#N/A,TRUE,"7-2";#N/A,#N/A,TRUE,"8.";#N/A,#N/A,TRUE,"9."}</definedName>
    <definedName name="동장싱" hidden="1">{"'매출계획'!$D$2"}</definedName>
    <definedName name="ㄸㄱ구믇045649170" hidden="1">{0,#VALUE!,TRUE,0;#N/A,#N/A,TRUE,0;#N/A,#N/A,0,0;#N/A,#N/A,TRUE,0;#N/A,#N/A,TRUE,0;0,0,0,0;0,0,0,0;0,0,0,0;0,0,0,0;0,0,0,0;0,0,0,0;0,0,0,0;0,0,0,0;0,0,0,0;0,0,0,0;0,0,0,0}</definedName>
    <definedName name="ㄹ" hidden="1">{#N/A,#N/A,FALSE,"부서종합";#N/A,#N/A,FALSE,"DISC종합";#N/A,#N/A,FALSE,"생산1과";#N/A,#N/A,FALSE,"생산2과";#N/A,#N/A,FALSE,"전기계장";#N/A,#N/A,FALSE,"기계";#N/A,#N/A,FALSE,"철의장";#N/A,#N/A,FALSE,"거주구";#N/A,#N/A,FALSE,"HVAC"}</definedName>
    <definedName name="ㄹㄷㄱ" hidden="1">{#N/A,#N/A,TRUE,"목차";#N/A,#N/A,TRUE,"1.";#N/A,#N/A,TRUE,"2.";#N/A,#N/A,TRUE,"3.";#N/A,#N/A,TRUE,"4-1";#N/A,#N/A,TRUE,"-2";#N/A,#N/A,TRUE,"-3";#N/A,#N/A,TRUE,"-4";#N/A,#N/A,TRUE,"5-1";#N/A,#N/A,TRUE,"5-2";#N/A,#N/A,TRUE,"6-1";#N/A,#N/A,TRUE,"6-2";#N/A,#N/A,TRUE,"7-1";#N/A,#N/A,TRUE,"7-2";#N/A,#N/A,TRUE,"8.";#N/A,#N/A,TRUE,"9."}</definedName>
    <definedName name="ㄹㄹ" hidden="1">{"'매출계획'!$D$2"}</definedName>
    <definedName name="ㄹㄹㄹ" hidden="1">{#N/A,#N/A,FALSE,"부서종합";#N/A,#N/A,FALSE,"DISC종합";#N/A,#N/A,FALSE,"생산1과";#N/A,#N/A,FALSE,"생산2과";#N/A,#N/A,FALSE,"전기계장";#N/A,#N/A,FALSE,"기계";#N/A,#N/A,FALSE,"철의장";#N/A,#N/A,FALSE,"거주구";#N/A,#N/A,FALSE,"HVAC"}</definedName>
    <definedName name="ㄹㄹㄹㄹ" hidden="1">{#N/A,#N/A,FALSE,"부서종합";#N/A,#N/A,FALSE,"DISC종합";#N/A,#N/A,FALSE,"생산1과";#N/A,#N/A,FALSE,"생산2과";#N/A,#N/A,FALSE,"전기계장";#N/A,#N/A,FALSE,"기계";#N/A,#N/A,FALSE,"철의장";#N/A,#N/A,FALSE,"거주구";#N/A,#N/A,FALSE,"HVAC"}</definedName>
    <definedName name="ㄹㄹㄹㄹㄹㄹㄹㄹㄹㄹㄹㄹㄹㄹㄹㄹㄹㄹㄹ" hidden="1">{"'매출계획'!$D$2"}</definedName>
    <definedName name="ㄹ호" hidden="1">{"'매출계획'!$D$2"}</definedName>
    <definedName name="ㄹ호ㅓ" hidden="1">{#N/A,#N/A,TRUE,"LOADCOVE";#N/A,#N/A,TRUE,"PAGE001";#N/A,#N/A,TRUE,"PAGE002";#N/A,#N/A,TRUE,"PAGE003";#N/A,#N/A,TRUE,"PAGE004";#N/A,#N/A,TRUE,"PAGE005";#N/A,#N/A,TRUE,"PAGE006";#N/A,#N/A,TRUE,"PAGE007";#N/A,#N/A,TRUE,"PAGE008";#N/A,#N/A,TRUE,"PAGE009";#N/A,#N/A,TRUE,"PAGE010";#N/A,#N/A,TRUE,"PAGE011";#N/A,#N/A,TRUE,"PAGE012";#N/A,#N/A,TRUE,"PAGE013"}</definedName>
    <definedName name="라ㅑㅕ" hidden="1">{"'매출계획'!$D$2"}</definedName>
    <definedName name="로다" hidden="1">{#N/A,#N/A,TRUE,"목차";#N/A,#N/A,TRUE,"1.";#N/A,#N/A,TRUE,"2.";#N/A,#N/A,TRUE,"3.";#N/A,#N/A,TRUE,"4-1";#N/A,#N/A,TRUE,"-2";#N/A,#N/A,TRUE,"-3";#N/A,#N/A,TRUE,"-4";#N/A,#N/A,TRUE,"5-1";#N/A,#N/A,TRUE,"5-2";#N/A,#N/A,TRUE,"6-1";#N/A,#N/A,TRUE,"6-2";#N/A,#N/A,TRUE,"7-1";#N/A,#N/A,TRUE,"7-2";#N/A,#N/A,TRUE,"8.";#N/A,#N/A,TRUE,"9."}</definedName>
    <definedName name="롷" hidden="1">{"'매출계획'!$D$2"}</definedName>
    <definedName name="류상" hidden="1">{#N/A,#N/A,TRUE,"LOADCOVE";#N/A,#N/A,TRUE,"PAGE001";#N/A,#N/A,TRUE,"PAGE002";#N/A,#N/A,TRUE,"PAGE003";#N/A,#N/A,TRUE,"PAGE004";#N/A,#N/A,TRUE,"PAGE005";#N/A,#N/A,TRUE,"PAGE006";#N/A,#N/A,TRUE,"PAGE007";#N/A,#N/A,TRUE,"PAGE008";#N/A,#N/A,TRUE,"PAGE009";#N/A,#N/A,TRUE,"PAGE010";#N/A,#N/A,TRUE,"PAGE011";#N/A,#N/A,TRUE,"PAGE012";#N/A,#N/A,TRUE,"PAGE013"}</definedName>
    <definedName name="ㅁㄴ" hidden="1">{"'매출계획'!$D$2"}</definedName>
    <definedName name="ㅁㄴㄻㄴㄹ" hidden="1">#REF!</definedName>
    <definedName name="ㅁㄴㅁㄴㅇ" hidden="1">{"'매출계획'!$D$2"}</definedName>
    <definedName name="ㅁㄴㅇㄹ" hidden="1">{"'매출계획'!$D$2"}</definedName>
    <definedName name="ㅁㄴㅇㅁ" hidden="1">{#N/A,#N/A,TRUE,"목차";#N/A,#N/A,TRUE,"1.";#N/A,#N/A,TRUE,"2.";#N/A,#N/A,TRUE,"3.";#N/A,#N/A,TRUE,"4-1";#N/A,#N/A,TRUE,"-2";#N/A,#N/A,TRUE,"-3";#N/A,#N/A,TRUE,"-4";#N/A,#N/A,TRUE,"5-1";#N/A,#N/A,TRUE,"5-2";#N/A,#N/A,TRUE,"6-1";#N/A,#N/A,TRUE,"6-2";#N/A,#N/A,TRUE,"7-1";#N/A,#N/A,TRUE,"7-2";#N/A,#N/A,TRUE,"8.";#N/A,#N/A,TRUE,"9."}</definedName>
    <definedName name="ㅁㄵ" hidden="1">{#N/A,#N/A,TRUE,"목차";#N/A,#N/A,TRUE,"1.";#N/A,#N/A,TRUE,"2.";#N/A,#N/A,TRUE,"3.";#N/A,#N/A,TRUE,"4-1";#N/A,#N/A,TRUE,"-2";#N/A,#N/A,TRUE,"-3";#N/A,#N/A,TRUE,"-4";#N/A,#N/A,TRUE,"5-1";#N/A,#N/A,TRUE,"5-2";#N/A,#N/A,TRUE,"6-1";#N/A,#N/A,TRUE,"6-2";#N/A,#N/A,TRUE,"7-1";#N/A,#N/A,TRUE,"7-2";#N/A,#N/A,TRUE,"8.";#N/A,#N/A,TRUE,"9."}</definedName>
    <definedName name="ㅁㄹㅇ" hidden="1">{"'매출계획'!$D$2"}</definedName>
    <definedName name="ㅁㄹㅇㄹ" hidden="1">{"'매출계획'!$D$2"}</definedName>
    <definedName name="ㅁㅀ" hidden="1">{#N/A,#N/A,TRUE,"LOADCOVE";#N/A,#N/A,TRUE,"PAGE001";#N/A,#N/A,TRUE,"PAGE002";#N/A,#N/A,TRUE,"PAGE003";#N/A,#N/A,TRUE,"PAGE004";#N/A,#N/A,TRUE,"PAGE005";#N/A,#N/A,TRUE,"PAGE006";#N/A,#N/A,TRUE,"PAGE007";#N/A,#N/A,TRUE,"PAGE008";#N/A,#N/A,TRUE,"PAGE009";#N/A,#N/A,TRUE,"PAGE010";#N/A,#N/A,TRUE,"PAGE011";#N/A,#N/A,TRUE,"PAGE012";#N/A,#N/A,TRUE,"PAGE013"}</definedName>
    <definedName name="ㅁㅁㅁ" hidden="1">{#N/A,#N/A,FALSE,"부서종합";#N/A,#N/A,FALSE,"DISC종합";#N/A,#N/A,FALSE,"생산1과";#N/A,#N/A,FALSE,"생산2과";#N/A,#N/A,FALSE,"전기계장";#N/A,#N/A,FALSE,"기계";#N/A,#N/A,FALSE,"철의장";#N/A,#N/A,FALSE,"거주구";#N/A,#N/A,FALSE,"HVAC"}</definedName>
    <definedName name="ㅁㅁㅁㅁ" hidden="1">{#N/A,#N/A,TRUE,"LOADCOVE";#N/A,#N/A,TRUE,"PAGE001";#N/A,#N/A,TRUE,"PAGE002";#N/A,#N/A,TRUE,"PAGE003";#N/A,#N/A,TRUE,"PAGE004";#N/A,#N/A,TRUE,"PAGE005";#N/A,#N/A,TRUE,"PAGE006";#N/A,#N/A,TRUE,"PAGE007";#N/A,#N/A,TRUE,"PAGE008";#N/A,#N/A,TRUE,"PAGE009";#N/A,#N/A,TRUE,"PAGE010";#N/A,#N/A,TRUE,"PAGE011";#N/A,#N/A,TRUE,"PAGE012";#N/A,#N/A,TRUE,"PAGE013"}</definedName>
    <definedName name="ㅁㅁㅁㅁㅁ" hidden="1">{#N/A,#N/A,TRUE,"목차";#N/A,#N/A,TRUE,"1.";#N/A,#N/A,TRUE,"2.";#N/A,#N/A,TRUE,"3.";#N/A,#N/A,TRUE,"4-1";#N/A,#N/A,TRUE,"-2";#N/A,#N/A,TRUE,"-3";#N/A,#N/A,TRUE,"-4";#N/A,#N/A,TRUE,"5-1";#N/A,#N/A,TRUE,"5-2";#N/A,#N/A,TRUE,"6-1";#N/A,#N/A,TRUE,"6-2";#N/A,#N/A,TRUE,"7-1";#N/A,#N/A,TRUE,"7-2";#N/A,#N/A,TRUE,"8.";#N/A,#N/A,TRUE,"9."}</definedName>
    <definedName name="ㅁㅁㅁㅁㅁㅁ" hidden="1">{"'매출계획'!$D$2"}</definedName>
    <definedName name="ㅁㅁㅁㅁㅁㅁㅁㅁㅁㅁㅁㅁㅁ" hidden="1">{#N/A,#N/A,TRUE,"목차";#N/A,#N/A,TRUE,"1.";#N/A,#N/A,TRUE,"2.";#N/A,#N/A,TRUE,"3.";#N/A,#N/A,TRUE,"4-1";#N/A,#N/A,TRUE,"-2";#N/A,#N/A,TRUE,"-3";#N/A,#N/A,TRUE,"-4";#N/A,#N/A,TRUE,"5-1";#N/A,#N/A,TRUE,"5-2";#N/A,#N/A,TRUE,"6-1";#N/A,#N/A,TRUE,"6-2";#N/A,#N/A,TRUE,"7-1";#N/A,#N/A,TRUE,"7-2";#N/A,#N/A,TRUE,"8.";#N/A,#N/A,TRUE,"9."}</definedName>
    <definedName name="ㅁㅁㅁㅁㅁㅁㅁㅁㅁㅁㅁㅁㅁㅁㅁㅁㅁㅁㅁㅁㅁㅁㅁ" hidden="1">{"'매출계획'!$D$2"}</definedName>
    <definedName name="ㅁㅅ" hidden="1">{"'매출계획'!$D$2"}</definedName>
    <definedName name="ㅁㅇ" hidden="1">{"'매출계획'!$D$2"}</definedName>
    <definedName name="ㅁㅇㄴㄹ" hidden="1">{"'매출계획'!$D$2"}</definedName>
    <definedName name="ㅁㅇㄻㄴㅇㄻㄴㅇㄻㄴㅇㄻㄴㅇㄻㄴㅇㄹ" hidden="1">{"'매출계획'!$D$2"}</definedName>
    <definedName name="ㅁㅇㄻㅇㄴ" hidden="1">{#N/A,#N/A,TRUE,"LOADCOVE";#N/A,#N/A,TRUE,"PAGE001";#N/A,#N/A,TRUE,"PAGE002";#N/A,#N/A,TRUE,"PAGE003";#N/A,#N/A,TRUE,"PAGE004";#N/A,#N/A,TRUE,"PAGE005";#N/A,#N/A,TRUE,"PAGE006";#N/A,#N/A,TRUE,"PAGE007";#N/A,#N/A,TRUE,"PAGE008";#N/A,#N/A,TRUE,"PAGE009";#N/A,#N/A,TRUE,"PAGE010";#N/A,#N/A,TRUE,"PAGE011";#N/A,#N/A,TRUE,"PAGE012";#N/A,#N/A,TRUE,"PAGE013"}</definedName>
    <definedName name="ㅁㅎ" hidden="1">{#N/A,#N/A,TRUE,"LOADCOVE";#N/A,#N/A,TRUE,"PAGE001";#N/A,#N/A,TRUE,"PAGE002";#N/A,#N/A,TRUE,"PAGE003";#N/A,#N/A,TRUE,"PAGE004";#N/A,#N/A,TRUE,"PAGE005";#N/A,#N/A,TRUE,"PAGE006";#N/A,#N/A,TRUE,"PAGE007";#N/A,#N/A,TRUE,"PAGE008";#N/A,#N/A,TRUE,"PAGE009";#N/A,#N/A,TRUE,"PAGE010";#N/A,#N/A,TRUE,"PAGE011";#N/A,#N/A,TRUE,"PAGE012";#N/A,#N/A,TRUE,"PAGE013"}</definedName>
    <definedName name="ㅁ혼ㅇ" hidden="1">{#N/A,#N/A,TRUE,"LOADCOVE";#N/A,#N/A,TRUE,"PAGE001";#N/A,#N/A,TRUE,"PAGE002";#N/A,#N/A,TRUE,"PAGE003";#N/A,#N/A,TRUE,"PAGE004";#N/A,#N/A,TRUE,"PAGE005";#N/A,#N/A,TRUE,"PAGE006";#N/A,#N/A,TRUE,"PAGE007";#N/A,#N/A,TRUE,"PAGE008";#N/A,#N/A,TRUE,"PAGE009";#N/A,#N/A,TRUE,"PAGE010";#N/A,#N/A,TRUE,"PAGE011";#N/A,#N/A,TRUE,"PAGE012";#N/A,#N/A,TRUE,"PAGE013"}</definedName>
    <definedName name="마스킹" hidden="1">{"'매출계획'!$D$2"}</definedName>
    <definedName name="마음" hidden="1">{#N/A,#N/A,TRUE,"목차";#N/A,#N/A,TRUE,"1.";#N/A,#N/A,TRUE,"2.";#N/A,#N/A,TRUE,"3.";#N/A,#N/A,TRUE,"4-1";#N/A,#N/A,TRUE,"-2";#N/A,#N/A,TRUE,"-3";#N/A,#N/A,TRUE,"-4";#N/A,#N/A,TRUE,"5-1";#N/A,#N/A,TRUE,"5-2";#N/A,#N/A,TRUE,"6-1";#N/A,#N/A,TRUE,"6-2";#N/A,#N/A,TRUE,"7-1";#N/A,#N/A,TRUE,"7-2";#N/A,#N/A,TRUE,"8.";#N/A,#N/A,TRUE,"9."}</definedName>
    <definedName name="만택" hidden="1">{#N/A,#N/A,TRUE,"목차";#N/A,#N/A,TRUE,"1.";#N/A,#N/A,TRUE,"2.";#N/A,#N/A,TRUE,"3.";#N/A,#N/A,TRUE,"4-1";#N/A,#N/A,TRUE,"-2";#N/A,#N/A,TRUE,"-3";#N/A,#N/A,TRUE,"-4";#N/A,#N/A,TRUE,"5-1";#N/A,#N/A,TRUE,"5-2";#N/A,#N/A,TRUE,"6-1";#N/A,#N/A,TRUE,"6-2";#N/A,#N/A,TRUE,"7-1";#N/A,#N/A,TRUE,"7-2";#N/A,#N/A,TRUE,"8.";#N/A,#N/A,TRUE,"9."}</definedName>
    <definedName name="매출"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매출계획2"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매출액" hidden="1">#REF!</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메롱메롱" hidden="1">{"'매출계획'!$D$2"}</definedName>
    <definedName name="목" hidden="1">{#N/A,#N/A,TRUE,"목차";#N/A,#N/A,TRUE,"1.";#N/A,#N/A,TRUE,"2.";#N/A,#N/A,TRUE,"3.";#N/A,#N/A,TRUE,"4-1";#N/A,#N/A,TRUE,"-2";#N/A,#N/A,TRUE,"-3";#N/A,#N/A,TRUE,"-4";#N/A,#N/A,TRUE,"5-1";#N/A,#N/A,TRUE,"5-2";#N/A,#N/A,TRUE,"6-1";#N/A,#N/A,TRUE,"6-2";#N/A,#N/A,TRUE,"7-1";#N/A,#N/A,TRUE,"7-2";#N/A,#N/A,TRUE,"8.";#N/A,#N/A,TRUE,"9."}</definedName>
    <definedName name="목의" hidden="1">{#N/A,#N/A,TRUE,"목차";#N/A,#N/A,TRUE,"1.";#N/A,#N/A,TRUE,"2.";#N/A,#N/A,TRUE,"3.";#N/A,#N/A,TRUE,"4-1";#N/A,#N/A,TRUE,"-2";#N/A,#N/A,TRUE,"-3";#N/A,#N/A,TRUE,"-4";#N/A,#N/A,TRUE,"5-1";#N/A,#N/A,TRUE,"5-2";#N/A,#N/A,TRUE,"6-1";#N/A,#N/A,TRUE,"6-2";#N/A,#N/A,TRUE,"7-1";#N/A,#N/A,TRUE,"7-2";#N/A,#N/A,TRUE,"8.";#N/A,#N/A,TRUE,"9."}</definedName>
    <definedName name="몰라" hidden="1">{"'매출계획'!$D$2"}</definedName>
    <definedName name="몰라2" hidden="1">{"'매출계획'!$D$2"}</definedName>
    <definedName name="문제2" hidden="1">{#N/A,#N/A,TRUE,"목차";#N/A,#N/A,TRUE,"1.";#N/A,#N/A,TRUE,"2.";#N/A,#N/A,TRUE,"3.";#N/A,#N/A,TRUE,"4-1";#N/A,#N/A,TRUE,"-2";#N/A,#N/A,TRUE,"-3";#N/A,#N/A,TRUE,"-4";#N/A,#N/A,TRUE,"5-1";#N/A,#N/A,TRUE,"5-2";#N/A,#N/A,TRUE,"6-1";#N/A,#N/A,TRUE,"6-2";#N/A,#N/A,TRUE,"7-1";#N/A,#N/A,TRUE,"7-2";#N/A,#N/A,TRUE,"8.";#N/A,#N/A,TRUE,"9."}</definedName>
    <definedName name="문제3" hidden="1">{#N/A,#N/A,TRUE,"목차";#N/A,#N/A,TRUE,"1.";#N/A,#N/A,TRUE,"2.";#N/A,#N/A,TRUE,"3.";#N/A,#N/A,TRUE,"4-1";#N/A,#N/A,TRUE,"-2";#N/A,#N/A,TRUE,"-3";#N/A,#N/A,TRUE,"-4";#N/A,#N/A,TRUE,"5-1";#N/A,#N/A,TRUE,"5-2";#N/A,#N/A,TRUE,"6-1";#N/A,#N/A,TRUE,"6-2";#N/A,#N/A,TRUE,"7-1";#N/A,#N/A,TRUE,"7-2";#N/A,#N/A,TRUE,"8.";#N/A,#N/A,TRUE,"9."}</definedName>
    <definedName name="물량1" hidden="1">{"'매출계획'!$D$2"}</definedName>
    <definedName name="뭐고" hidden="1">{"'매출계획'!$D$2"}</definedName>
    <definedName name="뭬야" hidden="1">{"'매출계획'!$D$2"}</definedName>
    <definedName name="미달성사유2" hidden="1">{#N/A,#N/A,TRUE,"목차";#N/A,#N/A,TRUE,"1.";#N/A,#N/A,TRUE,"2.";#N/A,#N/A,TRUE,"3.";#N/A,#N/A,TRUE,"4-1";#N/A,#N/A,TRUE,"-2";#N/A,#N/A,TRUE,"-3";#N/A,#N/A,TRUE,"-4";#N/A,#N/A,TRUE,"5-1";#N/A,#N/A,TRUE,"5-2";#N/A,#N/A,TRUE,"6-1";#N/A,#N/A,TRUE,"6-2";#N/A,#N/A,TRUE,"7-1";#N/A,#N/A,TRUE,"7-2";#N/A,#N/A,TRUE,"8.";#N/A,#N/A,TRUE,"9."}</definedName>
    <definedName name="미미미밈" hidden="1">{#N/A,#N/A,TRUE,"LOADCOVE";#N/A,#N/A,TRUE,"PAGE001";#N/A,#N/A,TRUE,"PAGE002";#N/A,#N/A,TRUE,"PAGE003";#N/A,#N/A,TRUE,"PAGE004";#N/A,#N/A,TRUE,"PAGE005";#N/A,#N/A,TRUE,"PAGE006";#N/A,#N/A,TRUE,"PAGE007";#N/A,#N/A,TRUE,"PAGE008";#N/A,#N/A,TRUE,"PAGE009";#N/A,#N/A,TRUE,"PAGE010";#N/A,#N/A,TRUE,"PAGE011";#N/A,#N/A,TRUE,"PAGE012";#N/A,#N/A,TRUE,"PAGE013"}</definedName>
    <definedName name="미상주" hidden="1">{#N/A,#N/A,FALSE,"지침";#N/A,#N/A,FALSE,"환경분석";#N/A,#N/A,FALSE,"Sheet16"}</definedName>
    <definedName name="미수" hidden="1">{"'매출계획'!$D$2"}</definedName>
    <definedName name="미수2" hidden="1">{"'매출계획'!$D$2"}</definedName>
    <definedName name="미현" hidden="1">{"'매출계획'!$D$2"}</definedName>
    <definedName name="ㅂㄷㅈㅂㅂㄷ" hidden="1">{#N/A,#N/A,TRUE,"목차";#N/A,#N/A,TRUE,"1.";#N/A,#N/A,TRUE,"2.";#N/A,#N/A,TRUE,"3.";#N/A,#N/A,TRUE,"4-1";#N/A,#N/A,TRUE,"-2";#N/A,#N/A,TRUE,"-3";#N/A,#N/A,TRUE,"-4";#N/A,#N/A,TRUE,"5-1";#N/A,#N/A,TRUE,"5-2";#N/A,#N/A,TRUE,"6-1";#N/A,#N/A,TRUE,"6-2";#N/A,#N/A,TRUE,"7-1";#N/A,#N/A,TRUE,"7-2";#N/A,#N/A,TRUE,"8.";#N/A,#N/A,TRUE,"9."}</definedName>
    <definedName name="ㅂㅂㅂㅂㅂㅂ" hidden="1">{"'용역비'!$A$4:$C$8"}</definedName>
    <definedName name="ㅂㅂㅂㅂㅂㅂㅂㅂㅂㅂㅂㅂㅂㅂㅂㅂㅂㅂㅂㅂㅂㅂㅂㅂ" hidden="1">{"'매출계획'!$D$2"}</definedName>
    <definedName name="ㅂㅈㄷ" hidden="1">{"'매출계획'!$D$2"}</definedName>
    <definedName name="ㅂㅈㄷㅈ" hidden="1">{#N/A,#N/A,TRUE,"목차";#N/A,#N/A,TRUE,"1.";#N/A,#N/A,TRUE,"2.";#N/A,#N/A,TRUE,"3.";#N/A,#N/A,TRUE,"4-1";#N/A,#N/A,TRUE,"-2";#N/A,#N/A,TRUE,"-3";#N/A,#N/A,TRUE,"-4";#N/A,#N/A,TRUE,"5-1";#N/A,#N/A,TRUE,"5-2";#N/A,#N/A,TRUE,"6-1";#N/A,#N/A,TRUE,"6-2";#N/A,#N/A,TRUE,"7-1";#N/A,#N/A,TRUE,"7-2";#N/A,#N/A,TRUE,"8.";#N/A,#N/A,TRUE,"9."}</definedName>
    <definedName name="바뀜" hidden="1">{#N/A,#N/A,TRUE,"LOADCOVE";#N/A,#N/A,TRUE,"PAGE001";#N/A,#N/A,TRUE,"PAGE002";#N/A,#N/A,TRUE,"PAGE003";#N/A,#N/A,TRUE,"PAGE004";#N/A,#N/A,TRUE,"PAGE005";#N/A,#N/A,TRUE,"PAGE006";#N/A,#N/A,TRUE,"PAGE007";#N/A,#N/A,TRUE,"PAGE008";#N/A,#N/A,TRUE,"PAGE009";#N/A,#N/A,TRUE,"PAGE010";#N/A,#N/A,TRUE,"PAGE011";#N/A,#N/A,TRUE,"PAGE012";#N/A,#N/A,TRUE,"PAGE013"}</definedName>
    <definedName name="바나병길" hidden="1">{#N/A,#N/A,TRUE,"목차";#N/A,#N/A,TRUE,"1.";#N/A,#N/A,TRUE,"2.";#N/A,#N/A,TRUE,"3.";#N/A,#N/A,TRUE,"4-1";#N/A,#N/A,TRUE,"-2";#N/A,#N/A,TRUE,"-3";#N/A,#N/A,TRUE,"-4";#N/A,#N/A,TRUE,"5-1";#N/A,#N/A,TRUE,"5-2";#N/A,#N/A,TRUE,"6-1";#N/A,#N/A,TRUE,"6-2";#N/A,#N/A,TRUE,"7-1";#N/A,#N/A,TRUE,"7-2";#N/A,#N/A,TRUE,"8.";#N/A,#N/A,TRUE,"9."}</definedName>
    <definedName name="바보" hidden="1">{"'매출계획'!$D$2"}</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반별" hidden="1">{#N/A,#N/A,TRUE,"LOADCOVE";#N/A,#N/A,TRUE,"PAGE001";#N/A,#N/A,TRUE,"PAGE002";#N/A,#N/A,TRUE,"PAGE003";#N/A,#N/A,TRUE,"PAGE004";#N/A,#N/A,TRUE,"PAGE005";#N/A,#N/A,TRUE,"PAGE006";#N/A,#N/A,TRUE,"PAGE007";#N/A,#N/A,TRUE,"PAGE008";#N/A,#N/A,TRUE,"PAGE009";#N/A,#N/A,TRUE,"PAGE010";#N/A,#N/A,TRUE,"PAGE011";#N/A,#N/A,TRUE,"PAGE012";#N/A,#N/A,TRUE,"PAGE013"}</definedName>
    <definedName name="배관" hidden="1">{#N/A,#N/A,TRUE,"목차";#N/A,#N/A,TRUE,"1.";#N/A,#N/A,TRUE,"2.";#N/A,#N/A,TRUE,"3.";#N/A,#N/A,TRUE,"4-1";#N/A,#N/A,TRUE,"-2";#N/A,#N/A,TRUE,"-3";#N/A,#N/A,TRUE,"-4";#N/A,#N/A,TRUE,"5-1";#N/A,#N/A,TRUE,"5-2";#N/A,#N/A,TRUE,"6-1";#N/A,#N/A,TRUE,"6-2";#N/A,#N/A,TRUE,"7-1";#N/A,#N/A,TRUE,"7-2";#N/A,#N/A,TRUE,"8.";#N/A,#N/A,TRUE,"9."}</definedName>
    <definedName name="배관과"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 hidden="1">{#N/A,#N/A,TRUE,"목차";#N/A,#N/A,TRUE,"1.";#N/A,#N/A,TRUE,"2.";#N/A,#N/A,TRUE,"3.";#N/A,#N/A,TRUE,"4-1";#N/A,#N/A,TRUE,"-2";#N/A,#N/A,TRUE,"-3";#N/A,#N/A,TRUE,"-4";#N/A,#N/A,TRUE,"5-1";#N/A,#N/A,TRUE,"5-2";#N/A,#N/A,TRUE,"6-1";#N/A,#N/A,TRUE,"6-2";#N/A,#N/A,TRUE,"7-1";#N/A,#N/A,TRUE,"7-2";#N/A,#N/A,TRUE,"8.";#N/A,#N/A,TRUE,"9."}</definedName>
    <definedName name="보고"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보고333" hidden="1">{"'매출계획'!$D$2"}</definedName>
    <definedName name="보고3333" hidden="1">{"'매출계획'!$D$2"}</definedName>
    <definedName name="보안계획"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증계정명세서" hidden="1">{"'매출계획'!$D$2"}</definedName>
    <definedName name="보증금" hidden="1">{"'매출계획'!$D$2"}</definedName>
    <definedName name="복사" hidden="1">{#N/A,#N/A,TRUE,"목차";#N/A,#N/A,TRUE,"1.";#N/A,#N/A,TRUE,"2.";#N/A,#N/A,TRUE,"3.";#N/A,#N/A,TRUE,"4-1";#N/A,#N/A,TRUE,"-2";#N/A,#N/A,TRUE,"-3";#N/A,#N/A,TRUE,"-4";#N/A,#N/A,TRUE,"5-1";#N/A,#N/A,TRUE,"5-2";#N/A,#N/A,TRUE,"6-1";#N/A,#N/A,TRUE,"6-2";#N/A,#N/A,TRUE,"7-1";#N/A,#N/A,TRUE,"7-2";#N/A,#N/A,TRUE,"8.";#N/A,#N/A,TRUE,"9."}</definedName>
    <definedName name="볼트.너트" hidden="1">{#N/A,#N/A,FALSE,"손익계획";#N/A,#N/A,FALSE,"수익계획";#N/A,#N/A,FALSE,"실적분석"}</definedName>
    <definedName name="부대공사" hidden="1">#REF!</definedName>
    <definedName name="부자재" hidden="1">{"'매출계획'!$D$2"}</definedName>
    <definedName name="부하2" hidden="1">{#N/A,#N/A,TRUE,"목차";#N/A,#N/A,TRUE,"1.";#N/A,#N/A,TRUE,"2.";#N/A,#N/A,TRUE,"3.";#N/A,#N/A,TRUE,"4-1";#N/A,#N/A,TRUE,"-2";#N/A,#N/A,TRUE,"-3";#N/A,#N/A,TRUE,"-4";#N/A,#N/A,TRUE,"5-1";#N/A,#N/A,TRUE,"5-2";#N/A,#N/A,TRUE,"6-1";#N/A,#N/A,TRUE,"6-2";#N/A,#N/A,TRUE,"7-1";#N/A,#N/A,TRUE,"7-2";#N/A,#N/A,TRUE,"8.";#N/A,#N/A,TRUE,"9."}</definedName>
    <definedName name="부하계획1" hidden="1">{#N/A,#N/A,TRUE,"LOADCOVE";#N/A,#N/A,TRUE,"PAGE001";#N/A,#N/A,TRUE,"PAGE002";#N/A,#N/A,TRUE,"PAGE003";#N/A,#N/A,TRUE,"PAGE004";#N/A,#N/A,TRUE,"PAGE005";#N/A,#N/A,TRUE,"PAGE006";#N/A,#N/A,TRUE,"PAGE007";#N/A,#N/A,TRUE,"PAGE008";#N/A,#N/A,TRUE,"PAGE009";#N/A,#N/A,TRUE,"PAGE010";#N/A,#N/A,TRUE,"PAGE011";#N/A,#N/A,TRUE,"PAGE012";#N/A,#N/A,TRUE,"PAGE013"}</definedName>
    <definedName name="부하분석" hidden="1">{#N/A,#N/A,TRUE,"목차";#N/A,#N/A,TRUE,"1.";#N/A,#N/A,TRUE,"2.";#N/A,#N/A,TRUE,"3.";#N/A,#N/A,TRUE,"4-1";#N/A,#N/A,TRUE,"-2";#N/A,#N/A,TRUE,"-3";#N/A,#N/A,TRUE,"-4";#N/A,#N/A,TRUE,"5-1";#N/A,#N/A,TRUE,"5-2";#N/A,#N/A,TRUE,"6-1";#N/A,#N/A,TRUE,"6-2";#N/A,#N/A,TRUE,"7-1";#N/A,#N/A,TRUE,"7-2";#N/A,#N/A,TRUE,"8.";#N/A,#N/A,TRUE,"9."}</definedName>
    <definedName name="분석" hidden="1">{"'호선별현황(방식)'!$K$22:$P$22","'호선별현황(방식)'!$K$22:$P$22"}</definedName>
    <definedName name="비생상" hidden="1">{"'호선별현황(방식)'!$K$22:$P$22","'호선별현황(방식)'!$K$22:$P$22"}</definedName>
    <definedName name="비용" hidden="1">{#N/A,#N/A,TRUE,"목차";#N/A,#N/A,TRUE,"1.";#N/A,#N/A,TRUE,"2.";#N/A,#N/A,TRUE,"3.";#N/A,#N/A,TRUE,"4-1";#N/A,#N/A,TRUE,"-2";#N/A,#N/A,TRUE,"-3";#N/A,#N/A,TRUE,"-4";#N/A,#N/A,TRUE,"5-1";#N/A,#N/A,TRUE,"5-2";#N/A,#N/A,TRUE,"6-1";#N/A,#N/A,TRUE,"6-2";#N/A,#N/A,TRUE,"7-1";#N/A,#N/A,TRUE,"7-2";#N/A,#N/A,TRUE,"8.";#N/A,#N/A,TRUE,"9."}</definedName>
    <definedName name="비용2222222" hidden="1">{#N/A,#N/A,TRUE,"LOADCOVE";#N/A,#N/A,TRUE,"PAGE001";#N/A,#N/A,TRUE,"PAGE002";#N/A,#N/A,TRUE,"PAGE003";#N/A,#N/A,TRUE,"PAGE004";#N/A,#N/A,TRUE,"PAGE005";#N/A,#N/A,TRUE,"PAGE006";#N/A,#N/A,TRUE,"PAGE007";#N/A,#N/A,TRUE,"PAGE008";#N/A,#N/A,TRUE,"PAGE009";#N/A,#N/A,TRUE,"PAGE010";#N/A,#N/A,TRUE,"PAGE011";#N/A,#N/A,TRUE,"PAGE012";#N/A,#N/A,TRUE,"PAGE013"}</definedName>
    <definedName name="비용벨지움" hidden="1">{#N/A,#N/A,TRUE,"LOADCOVE";#N/A,#N/A,TRUE,"PAGE001";#N/A,#N/A,TRUE,"PAGE002";#N/A,#N/A,TRUE,"PAGE003";#N/A,#N/A,TRUE,"PAGE004";#N/A,#N/A,TRUE,"PAGE005";#N/A,#N/A,TRUE,"PAGE006";#N/A,#N/A,TRUE,"PAGE007";#N/A,#N/A,TRUE,"PAGE008";#N/A,#N/A,TRUE,"PAGE009";#N/A,#N/A,TRUE,"PAGE010";#N/A,#N/A,TRUE,"PAGE011";#N/A,#N/A,TRUE,"PAGE012";#N/A,#N/A,TRUE,"PAGE013"}</definedName>
    <definedName name="비호선율" hidden="1">{"'호선별현황(방식)'!$K$22:$P$22","'호선별현황(방식)'!$K$22:$P$22"}</definedName>
    <definedName name="비호승율" hidden="1">{"'호선별현황(방식)'!$K$22:$P$22","'호선별현황(방식)'!$K$22:$P$22"}</definedName>
    <definedName name="ㅅㄱㄷㅅㄷ" hidden="1">{#N/A,#N/A,TRUE,"목차";#N/A,#N/A,TRUE,"1.";#N/A,#N/A,TRUE,"2.";#N/A,#N/A,TRUE,"3.";#N/A,#N/A,TRUE,"4-1";#N/A,#N/A,TRUE,"-2";#N/A,#N/A,TRUE,"-3";#N/A,#N/A,TRUE,"-4";#N/A,#N/A,TRUE,"5-1";#N/A,#N/A,TRUE,"5-2";#N/A,#N/A,TRUE,"6-1";#N/A,#N/A,TRUE,"6-2";#N/A,#N/A,TRUE,"7-1";#N/A,#N/A,TRUE,"7-2";#N/A,#N/A,TRUE,"8.";#N/A,#N/A,TRUE,"9."}</definedName>
    <definedName name="ㅅㄷㄱ" hidden="1">{#N/A,#N/A,TRUE,"목차";#N/A,#N/A,TRUE,"1.";#N/A,#N/A,TRUE,"2.";#N/A,#N/A,TRUE,"3.";#N/A,#N/A,TRUE,"4-1";#N/A,#N/A,TRUE,"-2";#N/A,#N/A,TRUE,"-3";#N/A,#N/A,TRUE,"-4";#N/A,#N/A,TRUE,"5-1";#N/A,#N/A,TRUE,"5-2";#N/A,#N/A,TRUE,"6-1";#N/A,#N/A,TRUE,"6-2";#N/A,#N/A,TRUE,"7-1";#N/A,#N/A,TRUE,"7-2";#N/A,#N/A,TRUE,"8.";#N/A,#N/A,TRUE,"9."}</definedName>
    <definedName name="ㅅㄷㄳ" hidden="1">{#N/A,#N/A,TRUE,"목차";#N/A,#N/A,TRUE,"1.";#N/A,#N/A,TRUE,"2.";#N/A,#N/A,TRUE,"3.";#N/A,#N/A,TRUE,"4-1";#N/A,#N/A,TRUE,"-2";#N/A,#N/A,TRUE,"-3";#N/A,#N/A,TRUE,"-4";#N/A,#N/A,TRUE,"5-1";#N/A,#N/A,TRUE,"5-2";#N/A,#N/A,TRUE,"6-1";#N/A,#N/A,TRUE,"6-2";#N/A,#N/A,TRUE,"7-1";#N/A,#N/A,TRUE,"7-2";#N/A,#N/A,TRUE,"8.";#N/A,#N/A,TRUE,"9."}</definedName>
    <definedName name="ㅅㅅㅅ" hidden="1">{#N/A,#N/A,FALSE,"부서종합";#N/A,#N/A,FALSE,"DISC종합";#N/A,#N/A,FALSE,"생산1과";#N/A,#N/A,FALSE,"생산2과";#N/A,#N/A,FALSE,"전기계장";#N/A,#N/A,FALSE,"기계";#N/A,#N/A,FALSE,"철의장";#N/A,#N/A,FALSE,"거주구";#N/A,#N/A,FALSE,"HVAC"}</definedName>
    <definedName name="ㅅㅅㅅㅅㅅ" hidden="1">{#N/A,#N/A,TRUE,"LOADCOVE";#N/A,#N/A,TRUE,"PAGE001";#N/A,#N/A,TRUE,"PAGE002";#N/A,#N/A,TRUE,"PAGE003";#N/A,#N/A,TRUE,"PAGE004";#N/A,#N/A,TRUE,"PAGE005";#N/A,#N/A,TRUE,"PAGE006";#N/A,#N/A,TRUE,"PAGE007";#N/A,#N/A,TRUE,"PAGE008";#N/A,#N/A,TRUE,"PAGE009";#N/A,#N/A,TRUE,"PAGE010";#N/A,#N/A,TRUE,"PAGE011";#N/A,#N/A,TRUE,"PAGE012";#N/A,#N/A,TRUE,"PAGE013"}</definedName>
    <definedName name="ㅅㅅㅅㅅㅅㅅㅅㅅㅅㅅㅅㅅㅅㅅ" hidden="1">{"'매출계획'!$D$2"}</definedName>
    <definedName name="사내추가" hidden="1">{"'매출계획'!$D$2"}</definedName>
    <definedName name="사본" hidden="1">{"'매출계획'!$D$2"}</definedName>
    <definedName name="사업" hidden="1">{#N/A,#N/A,TRUE,"LOADCOVE";#N/A,#N/A,TRUE,"PAGE001";#N/A,#N/A,TRUE,"PAGE002";#N/A,#N/A,TRUE,"PAGE003";#N/A,#N/A,TRUE,"PAGE004";#N/A,#N/A,TRUE,"PAGE005";#N/A,#N/A,TRUE,"PAGE006";#N/A,#N/A,TRUE,"PAGE007";#N/A,#N/A,TRUE,"PAGE008";#N/A,#N/A,TRUE,"PAGE009";#N/A,#N/A,TRUE,"PAGE010";#N/A,#N/A,TRUE,"PAGE011";#N/A,#N/A,TRUE,"PAGE012";#N/A,#N/A,TRUE,"PAGE013"}</definedName>
    <definedName name="사업계획" hidden="1">{"'매출계획'!$D$2"}</definedName>
    <definedName name="사업기획" hidden="1">{#N/A,#N/A,TRUE,"LOADCOVE";#N/A,#N/A,TRUE,"PAGE001";#N/A,#N/A,TRUE,"PAGE002";#N/A,#N/A,TRUE,"PAGE003";#N/A,#N/A,TRUE,"PAGE004";#N/A,#N/A,TRUE,"PAGE005";#N/A,#N/A,TRUE,"PAGE006";#N/A,#N/A,TRUE,"PAGE007";#N/A,#N/A,TRUE,"PAGE008";#N/A,#N/A,TRUE,"PAGE009";#N/A,#N/A,TRUE,"PAGE010";#N/A,#N/A,TRUE,"PAGE011";#N/A,#N/A,TRUE,"PAGE012";#N/A,#N/A,TRUE,"PAGE013"}</definedName>
    <definedName name="사카린" hidden="1">{#N/A,#N/A,TRUE,"LOADCOVE";#N/A,#N/A,TRUE,"PAGE001";#N/A,#N/A,TRUE,"PAGE002";#N/A,#N/A,TRUE,"PAGE003";#N/A,#N/A,TRUE,"PAGE004";#N/A,#N/A,TRUE,"PAGE005";#N/A,#N/A,TRUE,"PAGE006";#N/A,#N/A,TRUE,"PAGE007";#N/A,#N/A,TRUE,"PAGE008";#N/A,#N/A,TRUE,"PAGE009";#N/A,#N/A,TRUE,"PAGE010";#N/A,#N/A,TRUE,"PAGE011";#N/A,#N/A,TRUE,"PAGE012";#N/A,#N/A,TRUE,"PAGE013"}</definedName>
    <definedName name="삼호조직" hidden="1">{"'호선별현황(방식)'!$K$22:$P$22","'호선별현황(방식)'!$K$22:$P$22"}</definedName>
    <definedName name="삼호중공업" hidden="1">{"'호선별현황(방식)'!$K$22:$P$22","'호선별현황(방식)'!$K$22:$P$22"}</definedName>
    <definedName name="상각비" hidden="1">{"'호선별현황(방식)'!$K$22:$P$22","'호선별현황(방식)'!$K$22:$P$22"}</definedName>
    <definedName name="상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상세내역" hidden="1">{#N/A,#N/A,FALSE,"부서종합";#N/A,#N/A,FALSE,"DISC종합";#N/A,#N/A,FALSE,"생산1과";#N/A,#N/A,FALSE,"생산2과";#N/A,#N/A,FALSE,"전기계장";#N/A,#N/A,FALSE,"기계";#N/A,#N/A,FALSE,"철의장";#N/A,#N/A,FALSE,"거주구";#N/A,#N/A,FALSE,"HVAC"}</definedName>
    <definedName name="상주" hidden="1">{#N/A,#N/A,FALSE,"지침";#N/A,#N/A,FALSE,"환경분석";#N/A,#N/A,FALSE,"Sheet16"}</definedName>
    <definedName name="상주감독" hidden="1">{#N/A,#N/A,FALSE,"지침";#N/A,#N/A,FALSE,"환경분석";#N/A,#N/A,FALSE,"Sheet16"}</definedName>
    <definedName name="상주감리" hidden="1">{#N/A,#N/A,FALSE,"지침";#N/A,#N/A,FALSE,"환경분석";#N/A,#N/A,FALSE,"Sheet16"}</definedName>
    <definedName name="새로네임" hidden="1">{#N/A,#N/A,TRUE,"목차";#N/A,#N/A,TRUE,"1.";#N/A,#N/A,TRUE,"2.";#N/A,#N/A,TRUE,"3.";#N/A,#N/A,TRUE,"4-1";#N/A,#N/A,TRUE,"-2";#N/A,#N/A,TRUE,"-3";#N/A,#N/A,TRUE,"-4";#N/A,#N/A,TRUE,"5-1";#N/A,#N/A,TRUE,"5-2";#N/A,#N/A,TRUE,"6-1";#N/A,#N/A,TRUE,"6-2";#N/A,#N/A,TRUE,"7-1";#N/A,#N/A,TRUE,"7-2";#N/A,#N/A,TRUE,"8.";#N/A,#N/A,TRUE,"9."}</definedName>
    <definedName name="생산" hidden="1">{"'매출계획'!$D$2"}</definedName>
    <definedName name="생산계획" hidden="1">{#N/A,#N/A,TRUE,"LOADCOVE";#N/A,#N/A,TRUE,"PAGE001";#N/A,#N/A,TRUE,"PAGE002";#N/A,#N/A,TRUE,"PAGE003";#N/A,#N/A,TRUE,"PAGE004";#N/A,#N/A,TRUE,"PAGE005";#N/A,#N/A,TRUE,"PAGE006";#N/A,#N/A,TRUE,"PAGE007";#N/A,#N/A,TRUE,"PAGE008";#N/A,#N/A,TRUE,"PAGE009";#N/A,#N/A,TRUE,"PAGE010";#N/A,#N/A,TRUE,"PAGE011";#N/A,#N/A,TRUE,"PAGE012";#N/A,#N/A,TRUE,"PAGE013"}</definedName>
    <definedName name="생산계획11" hidden="1">{#N/A,#N/A,TRUE,"LOADCOVE";#N/A,#N/A,TRUE,"PAGE001";#N/A,#N/A,TRUE,"PAGE002";#N/A,#N/A,TRUE,"PAGE003";#N/A,#N/A,TRUE,"PAGE004";#N/A,#N/A,TRUE,"PAGE005";#N/A,#N/A,TRUE,"PAGE006";#N/A,#N/A,TRUE,"PAGE007";#N/A,#N/A,TRUE,"PAGE008";#N/A,#N/A,TRUE,"PAGE009";#N/A,#N/A,TRUE,"PAGE010";#N/A,#N/A,TRUE,"PAGE011";#N/A,#N/A,TRUE,"PAGE012";#N/A,#N/A,TRUE,"PAGE013"}</definedName>
    <definedName name="생산능력" hidden="1">{"'매출계획'!$D$2"}</definedName>
    <definedName name="생산능력1" hidden="1">{"'매출계획'!$D$2"}</definedName>
    <definedName name="생산목표" hidden="1">{#N/A,#N/A,TRUE,"LOADCOVE";#N/A,#N/A,TRUE,"PAGE001";#N/A,#N/A,TRUE,"PAGE002";#N/A,#N/A,TRUE,"PAGE003";#N/A,#N/A,TRUE,"PAGE004";#N/A,#N/A,TRUE,"PAGE005";#N/A,#N/A,TRUE,"PAGE006";#N/A,#N/A,TRUE,"PAGE007";#N/A,#N/A,TRUE,"PAGE008";#N/A,#N/A,TRUE,"PAGE009";#N/A,#N/A,TRUE,"PAGE010";#N/A,#N/A,TRUE,"PAGE011";#N/A,#N/A,TRUE,"PAGE012";#N/A,#N/A,TRUE,"PAGE013"}</definedName>
    <definedName name="생산부" hidden="1">{#N/A,#N/A,TRUE,"LOADCOVE";#N/A,#N/A,TRUE,"PAGE001";#N/A,#N/A,TRUE,"PAGE002";#N/A,#N/A,TRUE,"PAGE003";#N/A,#N/A,TRUE,"PAGE004";#N/A,#N/A,TRUE,"PAGE005";#N/A,#N/A,TRUE,"PAGE006";#N/A,#N/A,TRUE,"PAGE007";#N/A,#N/A,TRUE,"PAGE008";#N/A,#N/A,TRUE,"PAGE009";#N/A,#N/A,TRUE,"PAGE010";#N/A,#N/A,TRUE,"PAGE011";#N/A,#N/A,TRUE,"PAGE012";#N/A,#N/A,TRUE,"PAGE013"}</definedName>
    <definedName name="생산ㅅ성" hidden="1">{"'매출계획'!$D$2"}</definedName>
    <definedName name="생산표지" hidden="1">{#N/A,#N/A,TRUE,"목차";#N/A,#N/A,TRUE,"1.";#N/A,#N/A,TRUE,"2.";#N/A,#N/A,TRUE,"3.";#N/A,#N/A,TRUE,"4-1";#N/A,#N/A,TRUE,"-2";#N/A,#N/A,TRUE,"-3";#N/A,#N/A,TRUE,"-4";#N/A,#N/A,TRUE,"5-1";#N/A,#N/A,TRUE,"5-2";#N/A,#N/A,TRUE,"6-1";#N/A,#N/A,TRUE,"6-2";#N/A,#N/A,TRUE,"7-1";#N/A,#N/A,TRUE,"7-2";#N/A,#N/A,TRUE,"8.";#N/A,#N/A,TRUE,"9."}</definedName>
    <definedName name="석" hidden="1">{#N/A,#N/A,FALSE,"지침";#N/A,#N/A,FALSE,"환경분석";#N/A,#N/A,FALSE,"Sheet16"}</definedName>
    <definedName name="선" hidden="1">{"'매출계획'!$D$2"}</definedName>
    <definedName name="선각2공장1" hidden="1">{"'매출계획'!$D$2"}</definedName>
    <definedName name="선공정" hidden="1">{#N/A,#N/A,TRUE,"목차";#N/A,#N/A,TRUE,"1.";#N/A,#N/A,TRUE,"2.";#N/A,#N/A,TRUE,"3.";#N/A,#N/A,TRUE,"4-1";#N/A,#N/A,TRUE,"-2";#N/A,#N/A,TRUE,"-3";#N/A,#N/A,TRUE,"-4";#N/A,#N/A,TRUE,"5-1";#N/A,#N/A,TRUE,"5-2";#N/A,#N/A,TRUE,"6-1";#N/A,#N/A,TRUE,"6-2";#N/A,#N/A,TRUE,"7-1";#N/A,#N/A,TRUE,"7-2";#N/A,#N/A,TRUE,"8.";#N/A,#N/A,TRUE,"9."}</definedName>
    <definedName name="선수수익" hidden="1">{"'매출계획'!$D$2"}</definedName>
    <definedName name="선장" hidden="1">{"select Dock , Ship , Master , ShipType ,_x000D_
datepart( Year , R_WC ) ,_x000D_
datepart( Month , R_WC ) ,_x000D_
datepart( Day , R_WC )  ,_x000D_
_x000D_
datepart( Year , R_KL ) ,_x000D_
datepart( Month , R_KL ) ,_x000D_
datepart( Day , R_K";"L ) ,_x000D_
_x000D_
datepart( Year , R_LC ) ,_x000D_
datepart( Month , R_LC ) ,_x000D_
datepart( Day , R_LC ) ,_x000D_
_x000D_
datepart( Year , R_DEL ) ,_x000D_
datepart( Month , R_DEL ) ,_x000D_
datepart( Day , R_DEL ) ,_x000D_
_x000D_
( select ISNULL( SUM(V";"alue) , 0 ) from I_RealManHourData where subString( Code , 3 , 1 ) != 'X' and Ship = JobData.Ship )  ,_x000D_
_x000D_
( select ISNULL( SUM(Value) , 0 ) from I_RealManHourData where subString( Code , 6 , 2 ) IN ( ";"'W3' , 'W4' , 'W6' ) and Ship = JobData.Ship )  ,_x000D_
_x000D_
( select ISNULL( SUM(Value) , 0 ) from I_RealManHourData where subString( Code , 6 , 2 ) = 'P1' and Ship = JobData.Ship )   ,_x000D_
_x000D_
( select ISNULL( S";"UM(Value) , 0 ) from I_RealManHourData where subString( Code , 2 , 1 ) = 'G' and Ship = JobData.Ship )  ,_x000D_
( select ISNULL( SUM(Value) , 0 ) from I_RealManHourData where subString( Code , 2 , 1 ) = 'C";"' and Ship = JobData.Ship )  _x000D_
from JobData_x000D_
order by Dock , R_LC ,_x000D_
substring( Ship , 1 , 1) ,_x000D_
Breadth Desc"}</definedName>
    <definedName name="선장100" hidden="1">{#N/A,#N/A,TRUE,"목차";#N/A,#N/A,TRUE,"1.";#N/A,#N/A,TRUE,"2.";#N/A,#N/A,TRUE,"3.";#N/A,#N/A,TRUE,"4-1";#N/A,#N/A,TRUE,"-2";#N/A,#N/A,TRUE,"-3";#N/A,#N/A,TRUE,"-4";#N/A,#N/A,TRUE,"5-1";#N/A,#N/A,TRUE,"5-2";#N/A,#N/A,TRUE,"6-1";#N/A,#N/A,TRUE,"6-2";#N/A,#N/A,TRUE,"7-1";#N/A,#N/A,TRUE,"7-2";#N/A,#N/A,TRUE,"8.";#N/A,#N/A,TRUE,"9."}</definedName>
    <definedName name="선장철의장1" hidden="1">{#N/A,#N/A,TRUE,"목차";#N/A,#N/A,TRUE,"1.";#N/A,#N/A,TRUE,"2.";#N/A,#N/A,TRUE,"3.";#N/A,#N/A,TRUE,"4-1";#N/A,#N/A,TRUE,"-2";#N/A,#N/A,TRUE,"-3";#N/A,#N/A,TRUE,"-4";#N/A,#N/A,TRUE,"5-1";#N/A,#N/A,TRUE,"5-2";#N/A,#N/A,TRUE,"6-1";#N/A,#N/A,TRUE,"6-2";#N/A,#N/A,TRUE,"7-1";#N/A,#N/A,TRUE,"7-2";#N/A,#N/A,TRUE,"8.";#N/A,#N/A,TRUE,"9."}</definedName>
    <definedName name="선체2" hidden="1">{#N/A,#N/A,TRUE,"목차";#N/A,#N/A,TRUE,"1.";#N/A,#N/A,TRUE,"2.";#N/A,#N/A,TRUE,"3.";#N/A,#N/A,TRUE,"4-1";#N/A,#N/A,TRUE,"-2";#N/A,#N/A,TRUE,"-3";#N/A,#N/A,TRUE,"-4";#N/A,#N/A,TRUE,"5-1";#N/A,#N/A,TRUE,"5-2";#N/A,#N/A,TRUE,"6-1";#N/A,#N/A,TRUE,"6-2";#N/A,#N/A,TRUE,"7-1";#N/A,#N/A,TRUE,"7-2";#N/A,#N/A,TRUE,"8.";#N/A,#N/A,TRUE,"9."}</definedName>
    <definedName name="선행2" hidden="1">{#N/A,#N/A,TRUE,"목차";#N/A,#N/A,TRUE,"1.";#N/A,#N/A,TRUE,"2.";#N/A,#N/A,TRUE,"3.";#N/A,#N/A,TRUE,"4-1";#N/A,#N/A,TRUE,"-2";#N/A,#N/A,TRUE,"-3";#N/A,#N/A,TRUE,"-4";#N/A,#N/A,TRUE,"5-1";#N/A,#N/A,TRUE,"5-2";#N/A,#N/A,TRUE,"6-1";#N/A,#N/A,TRUE,"6-2";#N/A,#N/A,TRUE,"7-1";#N/A,#N/A,TRUE,"7-2";#N/A,#N/A,TRUE,"8.";#N/A,#N/A,TRUE,"9."}</definedName>
    <definedName name="선행load1" hidden="1">{"'호선별현황(방식)'!$K$22:$P$22","'호선별현황(방식)'!$K$22:$P$22"}</definedName>
    <definedName name="선행과" hidden="1">{"'매출계획'!$D$2"}</definedName>
    <definedName name="선행로드2" hidden="1">{"'호선별현황(방식)'!$K$22:$P$22","'호선별현황(방식)'!$K$22:$P$22"}</definedName>
    <definedName name="선행지표" hidden="1">{#N/A,#N/A,TRUE,"목차";#N/A,#N/A,TRUE,"1.";#N/A,#N/A,TRUE,"2.";#N/A,#N/A,TRUE,"3.";#N/A,#N/A,TRUE,"4-1";#N/A,#N/A,TRUE,"-2";#N/A,#N/A,TRUE,"-3";#N/A,#N/A,TRUE,"-4";#N/A,#N/A,TRUE,"5-1";#N/A,#N/A,TRUE,"5-2";#N/A,#N/A,TRUE,"6-1";#N/A,#N/A,TRUE,"6-2";#N/A,#N/A,TRUE,"7-1";#N/A,#N/A,TRUE,"7-2";#N/A,#N/A,TRUE,"8.";#N/A,#N/A,TRUE,"9."}</definedName>
    <definedName name="설계개선1" hidden="1">{#N/A,#N/A,TRUE,"목차";#N/A,#N/A,TRUE,"1.";#N/A,#N/A,TRUE,"2.";#N/A,#N/A,TRUE,"3.";#N/A,#N/A,TRUE,"4-1";#N/A,#N/A,TRUE,"-2";#N/A,#N/A,TRUE,"-3";#N/A,#N/A,TRUE,"-4";#N/A,#N/A,TRUE,"5-1";#N/A,#N/A,TRUE,"5-2";#N/A,#N/A,TRUE,"6-1";#N/A,#N/A,TRUE,"6-2";#N/A,#N/A,TRUE,"7-1";#N/A,#N/A,TRUE,"7-2";#N/A,#N/A,TRUE,"8.";#N/A,#N/A,TRUE,"9."}</definedName>
    <definedName name="설계부문표지" hidden="1">{#N/A,#N/A,TRUE,"목차";#N/A,#N/A,TRUE,"1.";#N/A,#N/A,TRUE,"2.";#N/A,#N/A,TRUE,"3.";#N/A,#N/A,TRUE,"4-1";#N/A,#N/A,TRUE,"-2";#N/A,#N/A,TRUE,"-3";#N/A,#N/A,TRUE,"-4";#N/A,#N/A,TRUE,"5-1";#N/A,#N/A,TRUE,"5-2";#N/A,#N/A,TRUE,"6-1";#N/A,#N/A,TRUE,"6-2";#N/A,#N/A,TRUE,"7-1";#N/A,#N/A,TRUE,"7-2";#N/A,#N/A,TRUE,"8.";#N/A,#N/A,TRUE,"9."}</definedName>
    <definedName name="설날" hidden="1">{#N/A,#N/A,TRUE,"LOADCOVE";#N/A,#N/A,TRUE,"PAGE001";#N/A,#N/A,TRUE,"PAGE002";#N/A,#N/A,TRUE,"PAGE003";#N/A,#N/A,TRUE,"PAGE004";#N/A,#N/A,TRUE,"PAGE005";#N/A,#N/A,TRUE,"PAGE006";#N/A,#N/A,TRUE,"PAGE007";#N/A,#N/A,TRUE,"PAGE008";#N/A,#N/A,TRUE,"PAGE009";#N/A,#N/A,TRUE,"PAGE010";#N/A,#N/A,TRUE,"PAGE011";#N/A,#N/A,TRUE,"PAGE012";#N/A,#N/A,TRUE,"PAGE013"}</definedName>
    <definedName name="설비." hidden="1">{#N/A,#N/A,TRUE,"목차";#N/A,#N/A,TRUE,"1.";#N/A,#N/A,TRUE,"2.";#N/A,#N/A,TRUE,"3.";#N/A,#N/A,TRUE,"4-1";#N/A,#N/A,TRUE,"-2";#N/A,#N/A,TRUE,"-3";#N/A,#N/A,TRUE,"-4";#N/A,#N/A,TRUE,"5-1";#N/A,#N/A,TRUE,"5-2";#N/A,#N/A,TRUE,"6-1";#N/A,#N/A,TRUE,"6-2";#N/A,#N/A,TRUE,"7-1";#N/A,#N/A,TRUE,"7-2";#N/A,#N/A,TRUE,"8.";#N/A,#N/A,TRUE,"9."}</definedName>
    <definedName name="설치실적" hidden="1">{#N/A,#N/A,FALSE,"DISCI종합";#N/A,#N/A,FALSE,"배관";#N/A,#N/A,FALSE,"전기계장";#N/A,#N/A,FALSE,"기계";#N/A,#N/A,FALSE,"철의장";#N/A,#N/A,FALSE,"거주구";#N/A,#N/A,FALSE,"HVAC"}</definedName>
    <definedName name="세노" hidden="1">{#N/A,#N/A,TRUE,"LOADCOVE";#N/A,#N/A,TRUE,"PAGE001";#N/A,#N/A,TRUE,"PAGE002";#N/A,#N/A,TRUE,"PAGE003";#N/A,#N/A,TRUE,"PAGE004";#N/A,#N/A,TRUE,"PAGE005";#N/A,#N/A,TRUE,"PAGE006";#N/A,#N/A,TRUE,"PAGE007";#N/A,#N/A,TRUE,"PAGE008";#N/A,#N/A,TRUE,"PAGE009";#N/A,#N/A,TRUE,"PAGE010";#N/A,#N/A,TRUE,"PAGE011";#N/A,#N/A,TRUE,"PAGE012";#N/A,#N/A,TRUE,"PAGE013"}</definedName>
    <definedName name="세노인원" hidden="1">{#N/A,#N/A,TRUE,"LOADCOVE";#N/A,#N/A,TRUE,"PAGE001";#N/A,#N/A,TRUE,"PAGE002";#N/A,#N/A,TRUE,"PAGE003";#N/A,#N/A,TRUE,"PAGE004";#N/A,#N/A,TRUE,"PAGE005";#N/A,#N/A,TRUE,"PAGE006";#N/A,#N/A,TRUE,"PAGE007";#N/A,#N/A,TRUE,"PAGE008";#N/A,#N/A,TRUE,"PAGE009";#N/A,#N/A,TRUE,"PAGE010";#N/A,#N/A,TRUE,"PAGE011";#N/A,#N/A,TRUE,"PAGE012";#N/A,#N/A,TRUE,"PAGE013"}</definedName>
    <definedName name="세부2" hidden="1">{#N/A,#N/A,TRUE,"목차";#N/A,#N/A,TRUE,"1.";#N/A,#N/A,TRUE,"2.";#N/A,#N/A,TRUE,"3.";#N/A,#N/A,TRUE,"4-1";#N/A,#N/A,TRUE,"-2";#N/A,#N/A,TRUE,"-3";#N/A,#N/A,TRUE,"-4";#N/A,#N/A,TRUE,"5-1";#N/A,#N/A,TRUE,"5-2";#N/A,#N/A,TRUE,"6-1";#N/A,#N/A,TRUE,"6-2";#N/A,#N/A,TRUE,"7-1";#N/A,#N/A,TRUE,"7-2";#N/A,#N/A,TRUE,"8.";#N/A,#N/A,TRUE,"9."}</definedName>
    <definedName name="세부구획" hidden="1">{"'매출계획'!$D$2"}</definedName>
    <definedName name="소" hidden="1">{#N/A,#N/A,TRUE,"LOADCOVE";#N/A,#N/A,TRUE,"PAGE001";#N/A,#N/A,TRUE,"PAGE002";#N/A,#N/A,TRUE,"PAGE003";#N/A,#N/A,TRUE,"PAGE004";#N/A,#N/A,TRUE,"PAGE005";#N/A,#N/A,TRUE,"PAGE006";#N/A,#N/A,TRUE,"PAGE007";#N/A,#N/A,TRUE,"PAGE008";#N/A,#N/A,TRUE,"PAGE009";#N/A,#N/A,TRUE,"PAGE010";#N/A,#N/A,TRUE,"PAGE011";#N/A,#N/A,TRUE,"PAGE012";#N/A,#N/A,TRUE,"PAGE013"}</definedName>
    <definedName name="소미나" hidden="1">{#N/A,#N/A,TRUE,"LOADCOVE";#N/A,#N/A,TRUE,"PAGE001";#N/A,#N/A,TRUE,"PAGE002";#N/A,#N/A,TRUE,"PAGE003";#N/A,#N/A,TRUE,"PAGE004";#N/A,#N/A,TRUE,"PAGE005";#N/A,#N/A,TRUE,"PAGE006";#N/A,#N/A,TRUE,"PAGE007";#N/A,#N/A,TRUE,"PAGE008";#N/A,#N/A,TRUE,"PAGE009";#N/A,#N/A,TRUE,"PAGE010";#N/A,#N/A,TRUE,"PAGE011";#N/A,#N/A,TRUE,"PAGE012";#N/A,#N/A,TRUE,"PAGE013"}</definedName>
    <definedName name="소요인원계획" hidden="1">{"'매출계획'!$D$2"}</definedName>
    <definedName name="소조" hidden="1">{#N/A,#N/A,TRUE,"목차";#N/A,#N/A,TRUE,"1.";#N/A,#N/A,TRUE,"2.";#N/A,#N/A,TRUE,"3.";#N/A,#N/A,TRUE,"4-1";#N/A,#N/A,TRUE,"-2";#N/A,#N/A,TRUE,"-3";#N/A,#N/A,TRUE,"-4";#N/A,#N/A,TRUE,"5-1";#N/A,#N/A,TRUE,"5-2";#N/A,#N/A,TRUE,"6-1";#N/A,#N/A,TRUE,"6-2";#N/A,#N/A,TRUE,"7-1";#N/A,#N/A,TRUE,"7-2";#N/A,#N/A,TRUE,"8.";#N/A,#N/A,TRUE,"9."}</definedName>
    <definedName name="소조물량" hidden="1">{"'매출계획'!$D$2"}</definedName>
    <definedName name="수"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원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정" hidden="1">{"'장비'!$A$3:$M$12"}</definedName>
    <definedName name="수정1" hidden="1">{#N/A,#N/A,TRUE,"LOADCOVE";#N/A,#N/A,TRUE,"PAGE001";#N/A,#N/A,TRUE,"PAGE002";#N/A,#N/A,TRUE,"PAGE003";#N/A,#N/A,TRUE,"PAGE004";#N/A,#N/A,TRUE,"PAGE005";#N/A,#N/A,TRUE,"PAGE006";#N/A,#N/A,TRUE,"PAGE007";#N/A,#N/A,TRUE,"PAGE008";#N/A,#N/A,TRUE,"PAGE009";#N/A,#N/A,TRUE,"PAGE010";#N/A,#N/A,TRUE,"PAGE011";#N/A,#N/A,TRUE,"PAGE012";#N/A,#N/A,TRUE,"PAGE013"}</definedName>
    <definedName name="수정2" hidden="1">{#N/A,#N/A,TRUE,"목차";#N/A,#N/A,TRUE,"1.";#N/A,#N/A,TRUE,"2.";#N/A,#N/A,TRUE,"3.";#N/A,#N/A,TRUE,"4-1";#N/A,#N/A,TRUE,"-2";#N/A,#N/A,TRUE,"-3";#N/A,#N/A,TRUE,"-4";#N/A,#N/A,TRUE,"5-1";#N/A,#N/A,TRUE,"5-2";#N/A,#N/A,TRUE,"6-1";#N/A,#N/A,TRUE,"6-2";#N/A,#N/A,TRUE,"7-1";#N/A,#N/A,TRUE,"7-2";#N/A,#N/A,TRUE,"8.";#N/A,#N/A,TRUE,"9."}</definedName>
    <definedName name="수정LOAD6" hidden="1">{#N/A,#N/A,TRUE,"LOADCOVE";#N/A,#N/A,TRUE,"PAGE001";#N/A,#N/A,TRUE,"PAGE002";#N/A,#N/A,TRUE,"PAGE003";#N/A,#N/A,TRUE,"PAGE004";#N/A,#N/A,TRUE,"PAGE005";#N/A,#N/A,TRUE,"PAGE006";#N/A,#N/A,TRUE,"PAGE007";#N/A,#N/A,TRUE,"PAGE008";#N/A,#N/A,TRUE,"PAGE009";#N/A,#N/A,TRUE,"PAGE010";#N/A,#N/A,TRUE,"PAGE011";#N/A,#N/A,TRUE,"PAGE012";#N/A,#N/A,TRUE,"PAGE013"}</definedName>
    <definedName name="수정운송" hidden="1">{"'매출계획'!$D$2"}</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수차" hidden="1">{#N/A,#N/A,TRUE,"목차";#N/A,#N/A,TRUE,"1.";#N/A,#N/A,TRUE,"2.";#N/A,#N/A,TRUE,"3.";#N/A,#N/A,TRUE,"4-1";#N/A,#N/A,TRUE,"-2";#N/A,#N/A,TRUE,"-3";#N/A,#N/A,TRUE,"-4";#N/A,#N/A,TRUE,"5-1";#N/A,#N/A,TRUE,"5-2";#N/A,#N/A,TRUE,"6-1";#N/A,#N/A,TRUE,"6-2";#N/A,#N/A,TRUE,"7-1";#N/A,#N/A,TRUE,"7-2";#N/A,#N/A,TRUE,"8.";#N/A,#N/A,TRUE,"9."}</definedName>
    <definedName name="수행" hidden="1">{#N/A,#N/A,TRUE,"LOADCOVE";#N/A,#N/A,TRUE,"PAGE001";#N/A,#N/A,TRUE,"PAGE002";#N/A,#N/A,TRUE,"PAGE003";#N/A,#N/A,TRUE,"PAGE004";#N/A,#N/A,TRUE,"PAGE005";#N/A,#N/A,TRUE,"PAGE006";#N/A,#N/A,TRUE,"PAGE007";#N/A,#N/A,TRUE,"PAGE008";#N/A,#N/A,TRUE,"PAGE009";#N/A,#N/A,TRUE,"PAGE010";#N/A,#N/A,TRUE,"PAGE011";#N/A,#N/A,TRUE,"PAGE012";#N/A,#N/A,TRUE,"PAGE013"}</definedName>
    <definedName name="승" hidden="1">{#N/A,#N/A,FALSE,"지침";#N/A,#N/A,FALSE,"환경분석";#N/A,#N/A,FALSE,"Sheet16"}</definedName>
    <definedName name="시설4"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시설실적A" hidden="1">{#N/A,#N/A,TRUE,"LOADCOVE";#N/A,#N/A,TRUE,"PAGE001";#N/A,#N/A,TRUE,"PAGE002";#N/A,#N/A,TRUE,"PAGE003";#N/A,#N/A,TRUE,"PAGE004";#N/A,#N/A,TRUE,"PAGE005";#N/A,#N/A,TRUE,"PAGE006";#N/A,#N/A,TRUE,"PAGE007";#N/A,#N/A,TRUE,"PAGE008";#N/A,#N/A,TRUE,"PAGE009";#N/A,#N/A,TRUE,"PAGE010";#N/A,#N/A,TRUE,"PAGE011";#N/A,#N/A,TRUE,"PAGE012";#N/A,#N/A,TRUE,"PAGE013"}</definedName>
    <definedName name="시설실적AA" hidden="1">{#N/A,#N/A,TRUE,"LOADCOVE";#N/A,#N/A,TRUE,"PAGE001";#N/A,#N/A,TRUE,"PAGE002";#N/A,#N/A,TRUE,"PAGE003";#N/A,#N/A,TRUE,"PAGE004";#N/A,#N/A,TRUE,"PAGE005";#N/A,#N/A,TRUE,"PAGE006";#N/A,#N/A,TRUE,"PAGE007";#N/A,#N/A,TRUE,"PAGE008";#N/A,#N/A,TRUE,"PAGE009";#N/A,#N/A,TRUE,"PAGE010";#N/A,#N/A,TRUE,"PAGE011";#N/A,#N/A,TRUE,"PAGE012";#N/A,#N/A,TRUE,"PAGE013"}</definedName>
    <definedName name="시설자재" hidden="1">{#N/A,#N/A,TRUE,"LOADCOVE";#N/A,#N/A,TRUE,"PAGE001";#N/A,#N/A,TRUE,"PAGE002";#N/A,#N/A,TRUE,"PAGE003";#N/A,#N/A,TRUE,"PAGE004";#N/A,#N/A,TRUE,"PAGE005";#N/A,#N/A,TRUE,"PAGE006";#N/A,#N/A,TRUE,"PAGE007";#N/A,#N/A,TRUE,"PAGE008";#N/A,#N/A,TRUE,"PAGE009";#N/A,#N/A,TRUE,"PAGE010";#N/A,#N/A,TRUE,"PAGE011";#N/A,#N/A,TRUE,"PAGE012";#N/A,#N/A,TRUE,"PAGE013"}</definedName>
    <definedName name="시설투자1" hidden="1">{#N/A,#N/A,TRUE,"LOADCOVE";#N/A,#N/A,TRUE,"PAGE001";#N/A,#N/A,TRUE,"PAGE002";#N/A,#N/A,TRUE,"PAGE003";#N/A,#N/A,TRUE,"PAGE004";#N/A,#N/A,TRUE,"PAGE005";#N/A,#N/A,TRUE,"PAGE006";#N/A,#N/A,TRUE,"PAGE007";#N/A,#N/A,TRUE,"PAGE008";#N/A,#N/A,TRUE,"PAGE009";#N/A,#N/A,TRUE,"PAGE010";#N/A,#N/A,TRUE,"PAGE011";#N/A,#N/A,TRUE,"PAGE012";#N/A,#N/A,TRUE,"PAGE013"}</definedName>
    <definedName name="시수도장" hidden="1">{#N/A,#N/A,FALSE,"손익계획";#N/A,#N/A,FALSE,"수익계획";#N/A,#N/A,FALSE,"실적분석"}</definedName>
    <definedName name="시업계획" hidden="1">{#N/A,#N/A,TRUE,"목차";#N/A,#N/A,TRUE,"1.";#N/A,#N/A,TRUE,"2.";#N/A,#N/A,TRUE,"3.";#N/A,#N/A,TRUE,"4-1";#N/A,#N/A,TRUE,"-2";#N/A,#N/A,TRUE,"-3";#N/A,#N/A,TRUE,"-4";#N/A,#N/A,TRUE,"5-1";#N/A,#N/A,TRUE,"5-2";#N/A,#N/A,TRUE,"6-1";#N/A,#N/A,TRUE,"6-2";#N/A,#N/A,TRUE,"7-1";#N/A,#N/A,TRUE,"7-2";#N/A,#N/A,TRUE,"8.";#N/A,#N/A,TRUE,"9."}</definedName>
    <definedName name="시행기준2" hidden="1">{"'매출계획'!$D$2"}</definedName>
    <definedName name="신규3" hidden="1">{#N/A,#N/A,TRUE,"목차";#N/A,#N/A,TRUE,"1.";#N/A,#N/A,TRUE,"2.";#N/A,#N/A,TRUE,"3.";#N/A,#N/A,TRUE,"4-1";#N/A,#N/A,TRUE,"-2";#N/A,#N/A,TRUE,"-3";#N/A,#N/A,TRUE,"-4";#N/A,#N/A,TRUE,"5-1";#N/A,#N/A,TRUE,"5-2";#N/A,#N/A,TRUE,"6-1";#N/A,#N/A,TRUE,"6-2";#N/A,#N/A,TRUE,"7-1";#N/A,#N/A,TRUE,"7-2";#N/A,#N/A,TRUE,"8.";#N/A,#N/A,TRUE,"9."}</definedName>
    <definedName name="신규4" hidden="1">{#N/A,#N/A,TRUE,"목차";#N/A,#N/A,TRUE,"1.";#N/A,#N/A,TRUE,"2.";#N/A,#N/A,TRUE,"3.";#N/A,#N/A,TRUE,"4-1";#N/A,#N/A,TRUE,"-2";#N/A,#N/A,TRUE,"-3";#N/A,#N/A,TRUE,"-4";#N/A,#N/A,TRUE,"5-1";#N/A,#N/A,TRUE,"5-2";#N/A,#N/A,TRUE,"6-1";#N/A,#N/A,TRUE,"6-2";#N/A,#N/A,TRUE,"7-1";#N/A,#N/A,TRUE,"7-2";#N/A,#N/A,TRUE,"8.";#N/A,#N/A,TRUE,"9."}</definedName>
    <definedName name="신조매출" hidden="1">{"'매출계획'!$D$2"}</definedName>
    <definedName name="실적002" hidden="1">{#N/A,#N/A,TRUE,"LOADCOVE";#N/A,#N/A,TRUE,"PAGE001";#N/A,#N/A,TRUE,"PAGE002";#N/A,#N/A,TRUE,"PAGE003";#N/A,#N/A,TRUE,"PAGE004";#N/A,#N/A,TRUE,"PAGE005";#N/A,#N/A,TRUE,"PAGE006";#N/A,#N/A,TRUE,"PAGE007";#N/A,#N/A,TRUE,"PAGE008";#N/A,#N/A,TRUE,"PAGE009";#N/A,#N/A,TRUE,"PAGE010";#N/A,#N/A,TRUE,"PAGE011";#N/A,#N/A,TRUE,"PAGE012";#N/A,#N/A,TRUE,"PAGE013"}</definedName>
    <definedName name="실적02111" hidden="1">{#N/A,#N/A,TRUE,"LOADCOVE";#N/A,#N/A,TRUE,"PAGE001";#N/A,#N/A,TRUE,"PAGE002";#N/A,#N/A,TRUE,"PAGE003";#N/A,#N/A,TRUE,"PAGE004";#N/A,#N/A,TRUE,"PAGE005";#N/A,#N/A,TRUE,"PAGE006";#N/A,#N/A,TRUE,"PAGE007";#N/A,#N/A,TRUE,"PAGE008";#N/A,#N/A,TRUE,"PAGE009";#N/A,#N/A,TRUE,"PAGE010";#N/A,#N/A,TRUE,"PAGE011";#N/A,#N/A,TRUE,"PAGE012";#N/A,#N/A,TRUE,"PAGE013"}</definedName>
    <definedName name="실적a" hidden="1">{#N/A,#N/A,TRUE,"LOADCOVE";#N/A,#N/A,TRUE,"PAGE001";#N/A,#N/A,TRUE,"PAGE002";#N/A,#N/A,TRUE,"PAGE003";#N/A,#N/A,TRUE,"PAGE004";#N/A,#N/A,TRUE,"PAGE005";#N/A,#N/A,TRUE,"PAGE006";#N/A,#N/A,TRUE,"PAGE007";#N/A,#N/A,TRUE,"PAGE008";#N/A,#N/A,TRUE,"PAGE009";#N/A,#N/A,TRUE,"PAGE010";#N/A,#N/A,TRUE,"PAGE011";#N/A,#N/A,TRUE,"PAGE012";#N/A,#N/A,TRUE,"PAGE013"}</definedName>
    <definedName name="실적ㅁ" hidden="1">{#N/A,#N/A,TRUE,"LOADCOVE";#N/A,#N/A,TRUE,"PAGE001";#N/A,#N/A,TRUE,"PAGE002";#N/A,#N/A,TRUE,"PAGE003";#N/A,#N/A,TRUE,"PAGE004";#N/A,#N/A,TRUE,"PAGE005";#N/A,#N/A,TRUE,"PAGE006";#N/A,#N/A,TRUE,"PAGE007";#N/A,#N/A,TRUE,"PAGE008";#N/A,#N/A,TRUE,"PAGE009";#N/A,#N/A,TRUE,"PAGE010";#N/A,#N/A,TRUE,"PAGE011";#N/A,#N/A,TRUE,"PAGE012";#N/A,#N/A,TRUE,"PAGE013"}</definedName>
    <definedName name="실적집계1" hidden="1">{"'호선별현황(방식)'!$K$22:$P$22","'호선별현황(방식)'!$K$22:$P$22"}</definedName>
    <definedName name="실행2" hidden="1">{#N/A,#N/A,FALSE,"지침";#N/A,#N/A,FALSE,"환경분석";#N/A,#N/A,FALSE,"Sheet16"}</definedName>
    <definedName name="심의결과" hidden="1">{#N/A,#N/A,TRUE,"목차";#N/A,#N/A,TRUE,"1.";#N/A,#N/A,TRUE,"2.";#N/A,#N/A,TRUE,"3.";#N/A,#N/A,TRUE,"4-1";#N/A,#N/A,TRUE,"-2";#N/A,#N/A,TRUE,"-3";#N/A,#N/A,TRUE,"-4";#N/A,#N/A,TRUE,"5-1";#N/A,#N/A,TRUE,"5-2";#N/A,#N/A,TRUE,"6-1";#N/A,#N/A,TRUE,"6-2";#N/A,#N/A,TRUE,"7-1";#N/A,#N/A,TRUE,"7-2";#N/A,#N/A,TRUE,"8.";#N/A,#N/A,TRUE,"9."}</definedName>
    <definedName name="심품대비작성" hidden="1">{#N/A,#N/A,TRUE,"LOADCOVE";#N/A,#N/A,TRUE,"PAGE001";#N/A,#N/A,TRUE,"PAGE002";#N/A,#N/A,TRUE,"PAGE003";#N/A,#N/A,TRUE,"PAGE004";#N/A,#N/A,TRUE,"PAGE005";#N/A,#N/A,TRUE,"PAGE006";#N/A,#N/A,TRUE,"PAGE007";#N/A,#N/A,TRUE,"PAGE008";#N/A,#N/A,TRUE,"PAGE009";#N/A,#N/A,TRUE,"PAGE010";#N/A,#N/A,TRUE,"PAGE011";#N/A,#N/A,TRUE,"PAGE012";#N/A,#N/A,TRUE,"PAGE013"}</definedName>
    <definedName name="ㅇ" hidden="1">{#N/A,#N/A,TRUE,"목차";#N/A,#N/A,TRUE,"1.";#N/A,#N/A,TRUE,"2.";#N/A,#N/A,TRUE,"3.";#N/A,#N/A,TRUE,"4-1";#N/A,#N/A,TRUE,"-2";#N/A,#N/A,TRUE,"-3";#N/A,#N/A,TRUE,"-4";#N/A,#N/A,TRUE,"5-1";#N/A,#N/A,TRUE,"5-2";#N/A,#N/A,TRUE,"6-1";#N/A,#N/A,TRUE,"6-2";#N/A,#N/A,TRUE,"7-1";#N/A,#N/A,TRUE,"7-2";#N/A,#N/A,TRUE,"8.";#N/A,#N/A,TRUE,"9."}</definedName>
    <definedName name="ㅇㄴㄹㅇㄴㅁ" hidden="1">{#N/A,#N/A,TRUE,"LOADCOVE";#N/A,#N/A,TRUE,"PAGE001";#N/A,#N/A,TRUE,"PAGE002";#N/A,#N/A,TRUE,"PAGE003";#N/A,#N/A,TRUE,"PAGE004";#N/A,#N/A,TRUE,"PAGE005";#N/A,#N/A,TRUE,"PAGE006";#N/A,#N/A,TRUE,"PAGE007";#N/A,#N/A,TRUE,"PAGE008";#N/A,#N/A,TRUE,"PAGE009";#N/A,#N/A,TRUE,"PAGE010";#N/A,#N/A,TRUE,"PAGE011";#N/A,#N/A,TRUE,"PAGE012";#N/A,#N/A,TRUE,"PAGE013"}</definedName>
    <definedName name="ㅇ너ㅣ" hidden="1">{"'매출계획'!$D$2"}</definedName>
    <definedName name="ㅇㄷㄴ" hidden="1">{"'장비'!$A$3:$M$12"}</definedName>
    <definedName name="ㅇㄹㄹㄹ" hidden="1">{#N/A,#N/A,TRUE,"목차";#N/A,#N/A,TRUE,"1.";#N/A,#N/A,TRUE,"2.";#N/A,#N/A,TRUE,"3.";#N/A,#N/A,TRUE,"4-1";#N/A,#N/A,TRUE,"-2";#N/A,#N/A,TRUE,"-3";#N/A,#N/A,TRUE,"-4";#N/A,#N/A,TRUE,"5-1";#N/A,#N/A,TRUE,"5-2";#N/A,#N/A,TRUE,"6-1";#N/A,#N/A,TRUE,"6-2";#N/A,#N/A,TRUE,"7-1";#N/A,#N/A,TRUE,"7-2";#N/A,#N/A,TRUE,"8.";#N/A,#N/A,TRUE,"9."}</definedName>
    <definedName name="ㅇㅀㅀ" hidden="1">{#N/A,#N/A,FALSE,"Sheet1"}</definedName>
    <definedName name="ㅇㅇㄹ" hidden="1">#REF!</definedName>
    <definedName name="ㅇㅇㅇ" hidden="1">{"'매출계획'!$D$2"}</definedName>
    <definedName name="ㅇㅇㅇㅇ" hidden="1">{#N/A,#N/A,TRUE,"목차";#N/A,#N/A,TRUE,"1.";#N/A,#N/A,TRUE,"2.";#N/A,#N/A,TRUE,"3.";#N/A,#N/A,TRUE,"4-1";#N/A,#N/A,TRUE,"-2";#N/A,#N/A,TRUE,"-3";#N/A,#N/A,TRUE,"-4";#N/A,#N/A,TRUE,"5-1";#N/A,#N/A,TRUE,"5-2";#N/A,#N/A,TRUE,"6-1";#N/A,#N/A,TRUE,"6-2";#N/A,#N/A,TRUE,"7-1";#N/A,#N/A,TRUE,"7-2";#N/A,#N/A,TRUE,"8.";#N/A,#N/A,TRUE,"9."}</definedName>
    <definedName name="아니오" hidden="1">{#N/A,#N/A,TRUE,"목차";#N/A,#N/A,TRUE,"1.";#N/A,#N/A,TRUE,"2.";#N/A,#N/A,TRUE,"3.";#N/A,#N/A,TRUE,"4-1";#N/A,#N/A,TRUE,"-2";#N/A,#N/A,TRUE,"-3";#N/A,#N/A,TRUE,"-4";#N/A,#N/A,TRUE,"5-1";#N/A,#N/A,TRUE,"5-2";#N/A,#N/A,TRUE,"6-1";#N/A,#N/A,TRUE,"6-2";#N/A,#N/A,TRUE,"7-1";#N/A,#N/A,TRUE,"7-2";#N/A,#N/A,TRUE,"8.";#N/A,#N/A,TRUE,"9."}</definedName>
    <definedName name="아달" hidden="1">{#N/A,#N/A,TRUE,"LOADCOVE";#N/A,#N/A,TRUE,"PAGE001";#N/A,#N/A,TRUE,"PAGE002";#N/A,#N/A,TRUE,"PAGE003";#N/A,#N/A,TRUE,"PAGE004";#N/A,#N/A,TRUE,"PAGE005";#N/A,#N/A,TRUE,"PAGE006";#N/A,#N/A,TRUE,"PAGE007";#N/A,#N/A,TRUE,"PAGE008";#N/A,#N/A,TRUE,"PAGE009";#N/A,#N/A,TRUE,"PAGE010";#N/A,#N/A,TRUE,"PAGE011";#N/A,#N/A,TRUE,"PAGE012";#N/A,#N/A,TRUE,"PAGE013"}</definedName>
    <definedName name="아름이" hidden="1">{#N/A,#N/A,TRUE,"목차";#N/A,#N/A,TRUE,"1.";#N/A,#N/A,TRUE,"2.";#N/A,#N/A,TRUE,"3.";#N/A,#N/A,TRUE,"4-1";#N/A,#N/A,TRUE,"-2";#N/A,#N/A,TRUE,"-3";#N/A,#N/A,TRUE,"-4";#N/A,#N/A,TRUE,"5-1";#N/A,#N/A,TRUE,"5-2";#N/A,#N/A,TRUE,"6-1";#N/A,#N/A,TRUE,"6-2";#N/A,#N/A,TRUE,"7-1";#N/A,#N/A,TRUE,"7-2";#N/A,#N/A,TRUE,"8.";#N/A,#N/A,TRUE,"9."}</definedName>
    <definedName name="아리랑" hidden="1">{"'매출계획'!$D$2"}</definedName>
    <definedName name="아아" hidden="1">{"'매출계획'!$D$2"}</definedName>
    <definedName name="아이" hidden="1">{#N/A,#N/A,FALSE,"부서종합";#N/A,#N/A,FALSE,"DISC종합";#N/A,#N/A,FALSE,"생산1과";#N/A,#N/A,FALSE,"생산2과";#N/A,#N/A,FALSE,"전기계장";#N/A,#N/A,FALSE,"기계";#N/A,#N/A,FALSE,"철의장";#N/A,#N/A,FALSE,"거주구";#N/A,#N/A,FALSE,"HVAC"}</definedName>
    <definedName name="안" hidden="1">{#N/A,#N/A,TRUE,"목차";#N/A,#N/A,TRUE,"1.";#N/A,#N/A,TRUE,"2.";#N/A,#N/A,TRUE,"3.";#N/A,#N/A,TRUE,"4-1";#N/A,#N/A,TRUE,"-2";#N/A,#N/A,TRUE,"-3";#N/A,#N/A,TRUE,"-4";#N/A,#N/A,TRUE,"5-1";#N/A,#N/A,TRUE,"5-2";#N/A,#N/A,TRUE,"6-1";#N/A,#N/A,TRUE,"6-2";#N/A,#N/A,TRUE,"7-1";#N/A,#N/A,TRUE,"7-2";#N/A,#N/A,TRUE,"8.";#N/A,#N/A,TRUE,"9."}</definedName>
    <definedName name="안건조" hidden="1">{#N/A,#N/A,TRUE,"목차";#N/A,#N/A,TRUE,"1.";#N/A,#N/A,TRUE,"2.";#N/A,#N/A,TRUE,"3.";#N/A,#N/A,TRUE,"4-1";#N/A,#N/A,TRUE,"-2";#N/A,#N/A,TRUE,"-3";#N/A,#N/A,TRUE,"-4";#N/A,#N/A,TRUE,"5-1";#N/A,#N/A,TRUE,"5-2";#N/A,#N/A,TRUE,"6-1";#N/A,#N/A,TRUE,"6-2";#N/A,#N/A,TRUE,"7-1";#N/A,#N/A,TRUE,"7-2";#N/A,#N/A,TRUE,"8.";#N/A,#N/A,TRUE,"9."}</definedName>
    <definedName name="안벽2" hidden="1">{"'매출계획'!$D$2"}</definedName>
    <definedName name="안전" hidden="1">{#N/A,#N/A,TRUE,"목차";#N/A,#N/A,TRUE,"1.";#N/A,#N/A,TRUE,"2.";#N/A,#N/A,TRUE,"3.";#N/A,#N/A,TRUE,"4-1";#N/A,#N/A,TRUE,"-2";#N/A,#N/A,TRUE,"-3";#N/A,#N/A,TRUE,"-4";#N/A,#N/A,TRUE,"5-1";#N/A,#N/A,TRUE,"5-2";#N/A,#N/A,TRUE,"6-1";#N/A,#N/A,TRUE,"6-2";#N/A,#N/A,TRUE,"7-1";#N/A,#N/A,TRUE,"7-2";#N/A,#N/A,TRUE,"8.";#N/A,#N/A,TRUE,"9."}</definedName>
    <definedName name="안전3" hidden="1">{#N/A,#N/A,TRUE,"목차";#N/A,#N/A,TRUE,"1.";#N/A,#N/A,TRUE,"2.";#N/A,#N/A,TRUE,"3.";#N/A,#N/A,TRUE,"4-1";#N/A,#N/A,TRUE,"-2";#N/A,#N/A,TRUE,"-3";#N/A,#N/A,TRUE,"-4";#N/A,#N/A,TRUE,"5-1";#N/A,#N/A,TRUE,"5-2";#N/A,#N/A,TRUE,"6-1";#N/A,#N/A,TRUE,"6-2";#N/A,#N/A,TRUE,"7-1";#N/A,#N/A,TRUE,"7-2";#N/A,#N/A,TRUE,"8.";#N/A,#N/A,TRUE,"9."}</definedName>
    <definedName name="안전양식" hidden="1">{#N/A,#N/A,TRUE,"목차";#N/A,#N/A,TRUE,"1.";#N/A,#N/A,TRUE,"2.";#N/A,#N/A,TRUE,"3.";#N/A,#N/A,TRUE,"4-1";#N/A,#N/A,TRUE,"-2";#N/A,#N/A,TRUE,"-3";#N/A,#N/A,TRUE,"-4";#N/A,#N/A,TRUE,"5-1";#N/A,#N/A,TRUE,"5-2";#N/A,#N/A,TRUE,"6-1";#N/A,#N/A,TRUE,"6-2";#N/A,#N/A,TRUE,"7-1";#N/A,#N/A,TRUE,"7-2";#N/A,#N/A,TRUE,"8.";#N/A,#N/A,TRUE,"9."}</definedName>
    <definedName name="안종근" hidden="1">{#N/A,#N/A,TRUE,"목차";#N/A,#N/A,TRUE,"1.";#N/A,#N/A,TRUE,"2.";#N/A,#N/A,TRUE,"3.";#N/A,#N/A,TRUE,"4-1";#N/A,#N/A,TRUE,"-2";#N/A,#N/A,TRUE,"-3";#N/A,#N/A,TRUE,"-4";#N/A,#N/A,TRUE,"5-1";#N/A,#N/A,TRUE,"5-2";#N/A,#N/A,TRUE,"6-1";#N/A,#N/A,TRUE,"6-2";#N/A,#N/A,TRUE,"7-1";#N/A,#N/A,TRUE,"7-2";#N/A,#N/A,TRUE,"8.";#N/A,#N/A,TRUE,"9."}</definedName>
    <definedName name="알집" hidden="1">{"'매출계획'!$D$2"}</definedName>
    <definedName name="암" hidden="1">{#N/A,#N/A,FALSE,"지침";#N/A,#N/A,FALSE,"환경분석";#N/A,#N/A,FALSE,"Sheet16"}</definedName>
    <definedName name="앙" hidden="1">{#N/A,#N/A,TRUE,"LOADCOVE";#N/A,#N/A,TRUE,"PAGE001";#N/A,#N/A,TRUE,"PAGE002";#N/A,#N/A,TRUE,"PAGE003";#N/A,#N/A,TRUE,"PAGE004";#N/A,#N/A,TRUE,"PAGE005";#N/A,#N/A,TRUE,"PAGE006";#N/A,#N/A,TRUE,"PAGE007";#N/A,#N/A,TRUE,"PAGE008";#N/A,#N/A,TRUE,"PAGE009";#N/A,#N/A,TRUE,"PAGE010";#N/A,#N/A,TRUE,"PAGE011";#N/A,#N/A,TRUE,"PAGE012";#N/A,#N/A,TRUE,"PAGE013"}</definedName>
    <definedName name="야간" hidden="1">{#N/A,#N/A,FALSE,"지침";#N/A,#N/A,FALSE,"환경분석";#N/A,#N/A,FALSE,"Sheet16"}</definedName>
    <definedName name="약깃기자" hidden="1">{#N/A,#N/A,TRUE,"목차";#N/A,#N/A,TRUE,"1.";#N/A,#N/A,TRUE,"2.";#N/A,#N/A,TRUE,"3.";#N/A,#N/A,TRUE,"4-1";#N/A,#N/A,TRUE,"-2";#N/A,#N/A,TRUE,"-3";#N/A,#N/A,TRUE,"-4";#N/A,#N/A,TRUE,"5-1";#N/A,#N/A,TRUE,"5-2";#N/A,#N/A,TRUE,"6-1";#N/A,#N/A,TRUE,"6-2";#N/A,#N/A,TRUE,"7-1";#N/A,#N/A,TRUE,"7-2";#N/A,#N/A,TRUE,"8.";#N/A,#N/A,TRUE,"9."}</definedName>
    <definedName name="약식4"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어떻화라고" hidden="1">{"'호선별현황(방식)'!$K$22:$P$22","'호선별현황(방식)'!$K$22:$P$22"}</definedName>
    <definedName name="업무개선" hidden="1">{"'매출계획'!$D$2"}</definedName>
    <definedName name="업무개선실적보고서" hidden="1">{"'매출계획'!$D$2"}</definedName>
    <definedName name="업무개선실적보고서3" hidden="1">{"'매출계획'!$D$2"}</definedName>
    <definedName name="업무수행계획" hidden="1">{#N/A,#N/A,TRUE,"목차";#N/A,#N/A,TRUE,"1.";#N/A,#N/A,TRUE,"2.";#N/A,#N/A,TRUE,"3.";#N/A,#N/A,TRUE,"4-1";#N/A,#N/A,TRUE,"-2";#N/A,#N/A,TRUE,"-3";#N/A,#N/A,TRUE,"-4";#N/A,#N/A,TRUE,"5-1";#N/A,#N/A,TRUE,"5-2";#N/A,#N/A,TRUE,"6-1";#N/A,#N/A,TRUE,"6-2";#N/A,#N/A,TRUE,"7-1";#N/A,#N/A,TRUE,"7-2";#N/A,#N/A,TRUE,"8.";#N/A,#N/A,TRUE,"9."}</definedName>
    <definedName name="업적평가서1" hidden="1">{"'매출계획'!$D$2"}</definedName>
    <definedName name="없음" hidden="1">#REF!</definedName>
    <definedName name="연" hidden="1">{#N/A,#N/A,TRUE,"목차";#N/A,#N/A,TRUE,"1.";#N/A,#N/A,TRUE,"2.";#N/A,#N/A,TRUE,"3.";#N/A,#N/A,TRUE,"4-1";#N/A,#N/A,TRUE,"-2";#N/A,#N/A,TRUE,"-3";#N/A,#N/A,TRUE,"-4";#N/A,#N/A,TRUE,"5-1";#N/A,#N/A,TRUE,"5-2";#N/A,#N/A,TRUE,"6-1";#N/A,#N/A,TRUE,"6-2";#N/A,#N/A,TRUE,"7-1";#N/A,#N/A,TRUE,"7-2";#N/A,#N/A,TRUE,"8.";#N/A,#N/A,TRUE,"9."}</definedName>
    <definedName name="연구소별표지" hidden="1">{#N/A,#N/A,TRUE,"목차";#N/A,#N/A,TRUE,"1.";#N/A,#N/A,TRUE,"2.";#N/A,#N/A,TRUE,"3.";#N/A,#N/A,TRUE,"4-1";#N/A,#N/A,TRUE,"-2";#N/A,#N/A,TRUE,"-3";#N/A,#N/A,TRUE,"-4";#N/A,#N/A,TRUE,"5-1";#N/A,#N/A,TRUE,"5-2";#N/A,#N/A,TRUE,"6-1";#N/A,#N/A,TRUE,"6-2";#N/A,#N/A,TRUE,"7-1";#N/A,#N/A,TRUE,"7-2";#N/A,#N/A,TRUE,"8.";#N/A,#N/A,TRUE,"9."}</definedName>
    <definedName name="연구소표지" hidden="1">{#N/A,#N/A,TRUE,"목차";#N/A,#N/A,TRUE,"1.";#N/A,#N/A,TRUE,"2.";#N/A,#N/A,TRUE,"3.";#N/A,#N/A,TRUE,"4-1";#N/A,#N/A,TRUE,"-2";#N/A,#N/A,TRUE,"-3";#N/A,#N/A,TRUE,"-4";#N/A,#N/A,TRUE,"5-1";#N/A,#N/A,TRUE,"5-2";#N/A,#N/A,TRUE,"6-1";#N/A,#N/A,TRUE,"6-2";#N/A,#N/A,TRUE,"7-1";#N/A,#N/A,TRUE,"7-2";#N/A,#N/A,TRUE,"8.";#N/A,#N/A,TRUE,"9."}</definedName>
    <definedName name="연습" hidden="1">{"'호선별현황(방식)'!$K$22:$P$22","'호선별현황(방식)'!$K$22:$P$22"}</definedName>
    <definedName name="연월7월누계" hidden="1">{#N/A,#N/A,TRUE,"LOADCOVE";#N/A,#N/A,TRUE,"PAGE001";#N/A,#N/A,TRUE,"PAGE002";#N/A,#N/A,TRUE,"PAGE003";#N/A,#N/A,TRUE,"PAGE004";#N/A,#N/A,TRUE,"PAGE005";#N/A,#N/A,TRUE,"PAGE006";#N/A,#N/A,TRUE,"PAGE007";#N/A,#N/A,TRUE,"PAGE008";#N/A,#N/A,TRUE,"PAGE009";#N/A,#N/A,TRUE,"PAGE010";#N/A,#N/A,TRUE,"PAGE011";#N/A,#N/A,TRUE,"PAGE012";#N/A,#N/A,TRUE,"PAGE013"}</definedName>
    <definedName name="연장그은무" hidden="1">{"'매출계획'!$D$2"}</definedName>
    <definedName name="연장근무" hidden="1">{"'매출계획'!$D$2"}</definedName>
    <definedName name="연장근무2" hidden="1">{"'매출계획'!$D$2"}</definedName>
    <definedName name="연장근무다" hidden="1">{"'매출계획'!$D$2"}</definedName>
    <definedName name="영업부문표지2" hidden="1">{#N/A,#N/A,TRUE,"목차";#N/A,#N/A,TRUE,"1.";#N/A,#N/A,TRUE,"2.";#N/A,#N/A,TRUE,"3.";#N/A,#N/A,TRUE,"4-1";#N/A,#N/A,TRUE,"-2";#N/A,#N/A,TRUE,"-3";#N/A,#N/A,TRUE,"-4";#N/A,#N/A,TRUE,"5-1";#N/A,#N/A,TRUE,"5-2";#N/A,#N/A,TRUE,"6-1";#N/A,#N/A,TRUE,"6-2";#N/A,#N/A,TRUE,"7-1";#N/A,#N/A,TRUE,"7-2";#N/A,#N/A,TRUE,"8.";#N/A,#N/A,TRUE,"9."}</definedName>
    <definedName name="예" hidden="1">{"'매출계획'!$D$2"}</definedName>
    <definedName name="예산" hidden="1">{"'매출계획'!$D$2"}</definedName>
    <definedName name="예산1" hidden="1">{"'매출계획'!$D$2"}</definedName>
    <definedName name="예산2" hidden="1">{"'매출계획'!$D$2"}</definedName>
    <definedName name="예산대책안" hidden="1">{#N/A,#N/A,TRUE,"LOADCOVE";#N/A,#N/A,TRUE,"PAGE001";#N/A,#N/A,TRUE,"PAGE002";#N/A,#N/A,TRUE,"PAGE003";#N/A,#N/A,TRUE,"PAGE004";#N/A,#N/A,TRUE,"PAGE005";#N/A,#N/A,TRUE,"PAGE006";#N/A,#N/A,TRUE,"PAGE007";#N/A,#N/A,TRUE,"PAGE008";#N/A,#N/A,TRUE,"PAGE009";#N/A,#N/A,TRUE,"PAGE010";#N/A,#N/A,TRUE,"PAGE011";#N/A,#N/A,TRUE,"PAGE012";#N/A,#N/A,TRUE,"PAGE013"}</definedName>
    <definedName name="옹" hidden="1">{#N/A,#N/A,TRUE,"LOADCOVE";#N/A,#N/A,TRUE,"PAGE001";#N/A,#N/A,TRUE,"PAGE002";#N/A,#N/A,TRUE,"PAGE003";#N/A,#N/A,TRUE,"PAGE004";#N/A,#N/A,TRUE,"PAGE005";#N/A,#N/A,TRUE,"PAGE006";#N/A,#N/A,TRUE,"PAGE007";#N/A,#N/A,TRUE,"PAGE008";#N/A,#N/A,TRUE,"PAGE009";#N/A,#N/A,TRUE,"PAGE010";#N/A,#N/A,TRUE,"PAGE011";#N/A,#N/A,TRUE,"PAGE012";#N/A,#N/A,TRUE,"PAGE013"}</definedName>
    <definedName name="완료지연" hidden="1">{#N/A,#N/A,TRUE,"목차";#N/A,#N/A,TRUE,"1.";#N/A,#N/A,TRUE,"2.";#N/A,#N/A,TRUE,"3.";#N/A,#N/A,TRUE,"4-1";#N/A,#N/A,TRUE,"-2";#N/A,#N/A,TRUE,"-3";#N/A,#N/A,TRUE,"-4";#N/A,#N/A,TRUE,"5-1";#N/A,#N/A,TRUE,"5-2";#N/A,#N/A,TRUE,"6-1";#N/A,#N/A,TRUE,"6-2";#N/A,#N/A,TRUE,"7-1";#N/A,#N/A,TRUE,"7-2";#N/A,#N/A,TRUE,"8.";#N/A,#N/A,TRUE,"9."}</definedName>
    <definedName name="외업H0227" hidden="1">{"'매출계획'!$D$2"}</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외작기획실" hidden="1">{"'매출계획'!$D$2"}</definedName>
    <definedName name="외주계회규" hidden="1">{"'매출계획'!$D$2"}</definedName>
    <definedName name="외주비CONVERT" hidden="1">{"'장비'!$A$3:$M$12"}</definedName>
    <definedName name="외주비월별투입계획" hidden="1">{"'장비'!$A$3:$M$12"}</definedName>
    <definedName name="외주품1" hidden="1">{#N/A,#N/A,TRUE,"LOADCOVE";#N/A,#N/A,TRUE,"PAGE001";#N/A,#N/A,TRUE,"PAGE002";#N/A,#N/A,TRUE,"PAGE003";#N/A,#N/A,TRUE,"PAGE004";#N/A,#N/A,TRUE,"PAGE005";#N/A,#N/A,TRUE,"PAGE006";#N/A,#N/A,TRUE,"PAGE007";#N/A,#N/A,TRUE,"PAGE008";#N/A,#N/A,TRUE,"PAGE009";#N/A,#N/A,TRUE,"PAGE010";#N/A,#N/A,TRUE,"PAGE011";#N/A,#N/A,TRUE,"PAGE012";#N/A,#N/A,TRUE,"PAGE013"}</definedName>
    <definedName name="외주품전체" hidden="1">{#N/A,#N/A,TRUE,"LOADCOVE";#N/A,#N/A,TRUE,"PAGE001";#N/A,#N/A,TRUE,"PAGE002";#N/A,#N/A,TRUE,"PAGE003";#N/A,#N/A,TRUE,"PAGE004";#N/A,#N/A,TRUE,"PAGE005";#N/A,#N/A,TRUE,"PAGE006";#N/A,#N/A,TRUE,"PAGE007";#N/A,#N/A,TRUE,"PAGE008";#N/A,#N/A,TRUE,"PAGE009";#N/A,#N/A,TRUE,"PAGE010";#N/A,#N/A,TRUE,"PAGE011";#N/A,#N/A,TRUE,"PAGE012";#N/A,#N/A,TRUE,"PAGE013"}</definedName>
    <definedName name="우잉" hidden="1">{#N/A,#N/A,TRUE,"목차";#N/A,#N/A,TRUE,"1.";#N/A,#N/A,TRUE,"2.";#N/A,#N/A,TRUE,"3.";#N/A,#N/A,TRUE,"4-1";#N/A,#N/A,TRUE,"-2";#N/A,#N/A,TRUE,"-3";#N/A,#N/A,TRUE,"-4";#N/A,#N/A,TRUE,"5-1";#N/A,#N/A,TRUE,"5-2";#N/A,#N/A,TRUE,"6-1";#N/A,#N/A,TRUE,"6-2";#N/A,#N/A,TRUE,"7-1";#N/A,#N/A,TRUE,"7-2";#N/A,#N/A,TRUE,"8.";#N/A,#N/A,TRUE,"9."}</definedName>
    <definedName name="우찌" hidden="1">{#N/A,#N/A,FALSE,"부서종합";#N/A,#N/A,FALSE,"DISC종합";#N/A,#N/A,FALSE,"생산1과";#N/A,#N/A,FALSE,"생산2과";#N/A,#N/A,FALSE,"전기계장";#N/A,#N/A,FALSE,"기계";#N/A,#N/A,FALSE,"철의장";#N/A,#N/A,FALSE,"거주구";#N/A,#N/A,FALSE,"HVAC"}</definedName>
    <definedName name="운송조직" hidden="1">{#N/A,#N/A,TRUE,"LOADCOVE";#N/A,#N/A,TRUE,"PAGE001";#N/A,#N/A,TRUE,"PAGE002";#N/A,#N/A,TRUE,"PAGE003";#N/A,#N/A,TRUE,"PAGE004";#N/A,#N/A,TRUE,"PAGE005";#N/A,#N/A,TRUE,"PAGE006";#N/A,#N/A,TRUE,"PAGE007";#N/A,#N/A,TRUE,"PAGE008";#N/A,#N/A,TRUE,"PAGE009";#N/A,#N/A,TRUE,"PAGE010";#N/A,#N/A,TRUE,"PAGE011";#N/A,#N/A,TRUE,"PAGE012";#N/A,#N/A,TRUE,"PAGE013"}</definedName>
    <definedName name="울" hidden="1">{#N/A,#N/A,TRUE,"목차";#N/A,#N/A,TRUE,"1.";#N/A,#N/A,TRUE,"2.";#N/A,#N/A,TRUE,"3.";#N/A,#N/A,TRUE,"4-1";#N/A,#N/A,TRUE,"-2";#N/A,#N/A,TRUE,"-3";#N/A,#N/A,TRUE,"-4";#N/A,#N/A,TRUE,"5-1";#N/A,#N/A,TRUE,"5-2";#N/A,#N/A,TRUE,"6-1";#N/A,#N/A,TRUE,"6-2";#N/A,#N/A,TRUE,"7-1";#N/A,#N/A,TRUE,"7-2";#N/A,#N/A,TRUE,"8.";#N/A,#N/A,TRUE,"9."}</definedName>
    <definedName name="워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월별" hidden="1">{#N/A,#N/A,TRUE,"LOADCOVE";#N/A,#N/A,TRUE,"PAGE001";#N/A,#N/A,TRUE,"PAGE002";#N/A,#N/A,TRUE,"PAGE003";#N/A,#N/A,TRUE,"PAGE004";#N/A,#N/A,TRUE,"PAGE005";#N/A,#N/A,TRUE,"PAGE006";#N/A,#N/A,TRUE,"PAGE007";#N/A,#N/A,TRUE,"PAGE008";#N/A,#N/A,TRUE,"PAGE009";#N/A,#N/A,TRUE,"PAGE010";#N/A,#N/A,TRUE,"PAGE011";#N/A,#N/A,TRUE,"PAGE012";#N/A,#N/A,TRUE,"PAGE013"}</definedName>
    <definedName name="월별재고1" hidden="1">{#N/A,#N/A,TRUE,"LOADCOVE";#N/A,#N/A,TRUE,"PAGE001";#N/A,#N/A,TRUE,"PAGE002";#N/A,#N/A,TRUE,"PAGE003";#N/A,#N/A,TRUE,"PAGE004";#N/A,#N/A,TRUE,"PAGE005";#N/A,#N/A,TRUE,"PAGE006";#N/A,#N/A,TRUE,"PAGE007";#N/A,#N/A,TRUE,"PAGE008";#N/A,#N/A,TRUE,"PAGE009";#N/A,#N/A,TRUE,"PAGE010";#N/A,#N/A,TRUE,"PAGE011";#N/A,#N/A,TRUE,"PAGE012";#N/A,#N/A,TRUE,"PAGE013"}</definedName>
    <definedName name="월별투입" hidden="1">{#N/A,#N/A,FALSE,"지침";#N/A,#N/A,FALSE,"환경분석";#N/A,#N/A,FALSE,"Sheet16"}</definedName>
    <definedName name="월비교" hidden="1">{"'매출계획'!$D$2"}</definedName>
    <definedName name="윗보기1" hidden="1">{#N/A,#N/A,TRUE,"LOADCOVE";#N/A,#N/A,TRUE,"PAGE001";#N/A,#N/A,TRUE,"PAGE002";#N/A,#N/A,TRUE,"PAGE003";#N/A,#N/A,TRUE,"PAGE004";#N/A,#N/A,TRUE,"PAGE005";#N/A,#N/A,TRUE,"PAGE006";#N/A,#N/A,TRUE,"PAGE007";#N/A,#N/A,TRUE,"PAGE008";#N/A,#N/A,TRUE,"PAGE009";#N/A,#N/A,TRUE,"PAGE010";#N/A,#N/A,TRUE,"PAGE011";#N/A,#N/A,TRUE,"PAGE012";#N/A,#N/A,TRUE,"PAGE013"}</definedName>
    <definedName name="유" hidden="1">{#N/A,#N/A,FALSE,"부서종합";#N/A,#N/A,FALSE,"DISC종합";#N/A,#N/A,FALSE,"생산1과";#N/A,#N/A,FALSE,"생산2과";#N/A,#N/A,FALSE,"전기계장";#N/A,#N/A,FALSE,"기계";#N/A,#N/A,FALSE,"철의장";#N/A,#N/A,FALSE,"거주구";#N/A,#N/A,FALSE,"HVAC"}</definedName>
    <definedName name="유가증권1" hidden="1">{"'매출계획'!$D$2"}</definedName>
    <definedName name="유융" hidden="1">{#N/A,#N/A,FALSE,"부서종합";#N/A,#N/A,FALSE,"DISC종합";#N/A,#N/A,FALSE,"생산1과";#N/A,#N/A,FALSE,"생산2과";#N/A,#N/A,FALSE,"전기계장";#N/A,#N/A,FALSE,"기계";#N/A,#N/A,FALSE,"철의장";#N/A,#N/A,FALSE,"거주구";#N/A,#N/A,FALSE,"HVAC"}</definedName>
    <definedName name="유첨" hidden="1">{#N/A,#N/A,TRUE,"목차";#N/A,#N/A,TRUE,"1.";#N/A,#N/A,TRUE,"2.";#N/A,#N/A,TRUE,"3.";#N/A,#N/A,TRUE,"4-1";#N/A,#N/A,TRUE,"-2";#N/A,#N/A,TRUE,"-3";#N/A,#N/A,TRUE,"-4";#N/A,#N/A,TRUE,"5-1";#N/A,#N/A,TRUE,"5-2";#N/A,#N/A,TRUE,"6-1";#N/A,#N/A,TRUE,"6-2";#N/A,#N/A,TRUE,"7-1";#N/A,#N/A,TRUE,"7-2";#N/A,#N/A,TRUE,"8.";#N/A,#N/A,TRUE,"9."}</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육상2" hidden="1">{#N/A,#N/A,TRUE,"LOADCOVE";#N/A,#N/A,TRUE,"PAGE001";#N/A,#N/A,TRUE,"PAGE002";#N/A,#N/A,TRUE,"PAGE003";#N/A,#N/A,TRUE,"PAGE004";#N/A,#N/A,TRUE,"PAGE005";#N/A,#N/A,TRUE,"PAGE006";#N/A,#N/A,TRUE,"PAGE007";#N/A,#N/A,TRUE,"PAGE008";#N/A,#N/A,TRUE,"PAGE009";#N/A,#N/A,TRUE,"PAGE010";#N/A,#N/A,TRUE,"PAGE011";#N/A,#N/A,TRUE,"PAGE012";#N/A,#N/A,TRUE,"PAGE013"}</definedName>
    <definedName name="윤" hidden="1">{#N/A,#N/A,FALSE,"부서종합";#N/A,#N/A,FALSE,"DISC종합";#N/A,#N/A,FALSE,"생산1과";#N/A,#N/A,FALSE,"생산2과";#N/A,#N/A,FALSE,"전기계장";#N/A,#N/A,FALSE,"기계";#N/A,#N/A,FALSE,"철의장";#N/A,#N/A,FALSE,"거주구";#N/A,#N/A,FALSE,"HVAC"}</definedName>
    <definedName name="윤홍덕" hidden="1">{#N/A,#N/A,FALSE,"부서종합";#N/A,#N/A,FALSE,"DISC종합";#N/A,#N/A,FALSE,"생산1과";#N/A,#N/A,FALSE,"생산2과";#N/A,#N/A,FALSE,"전기계장";#N/A,#N/A,FALSE,"기계";#N/A,#N/A,FALSE,"철의장";#N/A,#N/A,FALSE,"거주구";#N/A,#N/A,FALSE,"HVAC"}</definedName>
    <definedName name="의장" hidden="1">{"'매출계획'!$D$2"}</definedName>
    <definedName name="의장수산부" hidden="1">{"'호선별현황(방식)'!$K$22:$P$22","'호선별현황(방식)'!$K$22:$P$22"}</definedName>
    <definedName name="이" hidden="1">{#N/A,#N/A,TRUE,"목차";#N/A,#N/A,TRUE,"1.";#N/A,#N/A,TRUE,"2.";#N/A,#N/A,TRUE,"3.";#N/A,#N/A,TRUE,"4-1";#N/A,#N/A,TRUE,"-2";#N/A,#N/A,TRUE,"-3";#N/A,#N/A,TRUE,"-4";#N/A,#N/A,TRUE,"5-1";#N/A,#N/A,TRUE,"5-2";#N/A,#N/A,TRUE,"6-1";#N/A,#N/A,TRUE,"6-2";#N/A,#N/A,TRUE,"7-1";#N/A,#N/A,TRUE,"7-2";#N/A,#N/A,TRUE,"8.";#N/A,#N/A,TRUE,"9."}</definedName>
    <definedName name="이동명" hidden="1">{"'매출계획'!$D$2"}</definedName>
    <definedName name="이름2" hidden="1">{#N/A,#N/A,TRUE,"목차";#N/A,#N/A,TRUE,"1.";#N/A,#N/A,TRUE,"2.";#N/A,#N/A,TRUE,"3.";#N/A,#N/A,TRUE,"4-1";#N/A,#N/A,TRUE,"-2";#N/A,#N/A,TRUE,"-3";#N/A,#N/A,TRUE,"-4";#N/A,#N/A,TRUE,"5-1";#N/A,#N/A,TRUE,"5-2";#N/A,#N/A,TRUE,"6-1";#N/A,#N/A,TRUE,"6-2";#N/A,#N/A,TRUE,"7-1";#N/A,#N/A,TRUE,"7-2";#N/A,#N/A,TRUE,"8.";#N/A,#N/A,TRUE,"9."}</definedName>
    <definedName name="이주형" hidden="1">{"'매출계획'!$D$2"}</definedName>
    <definedName name="인력계획" hidden="1">{#N/A,#N/A,TRUE,"LOADCOVE";#N/A,#N/A,TRUE,"PAGE001";#N/A,#N/A,TRUE,"PAGE002";#N/A,#N/A,TRUE,"PAGE003";#N/A,#N/A,TRUE,"PAGE004";#N/A,#N/A,TRUE,"PAGE005";#N/A,#N/A,TRUE,"PAGE006";#N/A,#N/A,TRUE,"PAGE007";#N/A,#N/A,TRUE,"PAGE008";#N/A,#N/A,TRUE,"PAGE009";#N/A,#N/A,TRUE,"PAGE010";#N/A,#N/A,TRUE,"PAGE011";#N/A,#N/A,TRUE,"PAGE012";#N/A,#N/A,TRUE,"PAGE013"}</definedName>
    <definedName name="인력충원" hidden="1">{#N/A,#N/A,TRUE,"LOADCOVE";#N/A,#N/A,TRUE,"PAGE001";#N/A,#N/A,TRUE,"PAGE002";#N/A,#N/A,TRUE,"PAGE003";#N/A,#N/A,TRUE,"PAGE004";#N/A,#N/A,TRUE,"PAGE005";#N/A,#N/A,TRUE,"PAGE006";#N/A,#N/A,TRUE,"PAGE007";#N/A,#N/A,TRUE,"PAGE008";#N/A,#N/A,TRUE,"PAGE009";#N/A,#N/A,TRUE,"PAGE010";#N/A,#N/A,TRUE,"PAGE011";#N/A,#N/A,TRUE,"PAGE012";#N/A,#N/A,TRUE,"PAGE013"}</definedName>
    <definedName name="인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일일공정" hidden="1">{"'매출계획'!$D$2"}</definedName>
    <definedName name="일자별" hidden="1">{"'호선별현황(방식)'!$K$22:$P$22","'호선별현황(방식)'!$K$22:$P$22"}</definedName>
    <definedName name="일투입" hidden="1">{#N/A,#N/A,FALSE,"지침";#N/A,#N/A,FALSE,"환경분석";#N/A,#N/A,FALSE,"Sheet16"}</definedName>
    <definedName name="입고내역" hidden="1">{#N/A,#N/A,TRUE,"목차";#N/A,#N/A,TRUE,"1.";#N/A,#N/A,TRUE,"2.";#N/A,#N/A,TRUE,"3.";#N/A,#N/A,TRUE,"4-1";#N/A,#N/A,TRUE,"-2";#N/A,#N/A,TRUE,"-3";#N/A,#N/A,TRUE,"-4";#N/A,#N/A,TRUE,"5-1";#N/A,#N/A,TRUE,"5-2";#N/A,#N/A,TRUE,"6-1";#N/A,#N/A,TRUE,"6-2";#N/A,#N/A,TRUE,"7-1";#N/A,#N/A,TRUE,"7-2";#N/A,#N/A,TRUE,"8.";#N/A,#N/A,TRUE,"9."}</definedName>
    <definedName name="ㅈㄷㄳ" hidden="1">{"'매출계획'!$D$2"}</definedName>
    <definedName name="ㅈㄷㄵㄷ" hidden="1">{#N/A,#N/A,FALSE,"부서종합";#N/A,#N/A,FALSE,"DISC종합";#N/A,#N/A,FALSE,"생산1과";#N/A,#N/A,FALSE,"생산2과";#N/A,#N/A,FALSE,"전기계장";#N/A,#N/A,FALSE,"기계";#N/A,#N/A,FALSE,"철의장";#N/A,#N/A,FALSE,"거주구";#N/A,#N/A,FALSE,"HVAC"}</definedName>
    <definedName name="ㅈㄷㅂㄷㅂ" hidden="1">{#N/A,#N/A,TRUE,"목차";#N/A,#N/A,TRUE,"1.";#N/A,#N/A,TRUE,"2.";#N/A,#N/A,TRUE,"3.";#N/A,#N/A,TRUE,"4-1";#N/A,#N/A,TRUE,"-2";#N/A,#N/A,TRUE,"-3";#N/A,#N/A,TRUE,"-4";#N/A,#N/A,TRUE,"5-1";#N/A,#N/A,TRUE,"5-2";#N/A,#N/A,TRUE,"6-1";#N/A,#N/A,TRUE,"6-2";#N/A,#N/A,TRUE,"7-1";#N/A,#N/A,TRUE,"7-2";#N/A,#N/A,TRUE,"8.";#N/A,#N/A,TRUE,"9."}</definedName>
    <definedName name="ㅈㅂㄷㅈ" hidden="1">{"'매출계획'!$D$2"}</definedName>
    <definedName name="ㅈㅈ" hidden="1">{"'매출계획'!$D$2"}</definedName>
    <definedName name="자금수지" hidden="1">{#N/A,#N/A,TRUE,"LOADCOVE";#N/A,#N/A,TRUE,"PAGE001";#N/A,#N/A,TRUE,"PAGE002";#N/A,#N/A,TRUE,"PAGE003";#N/A,#N/A,TRUE,"PAGE004";#N/A,#N/A,TRUE,"PAGE005";#N/A,#N/A,TRUE,"PAGE006";#N/A,#N/A,TRUE,"PAGE007";#N/A,#N/A,TRUE,"PAGE008";#N/A,#N/A,TRUE,"PAGE009";#N/A,#N/A,TRUE,"PAGE010";#N/A,#N/A,TRUE,"PAGE011";#N/A,#N/A,TRUE,"PAGE012";#N/A,#N/A,TRUE,"PAGE013"}</definedName>
    <definedName name="자금청구" hidden="1">{"'장비'!$A$3:$M$12"}</definedName>
    <definedName name="자료4" hidden="1">{#N/A,#N/A,TRUE,"목차";#N/A,#N/A,TRUE,"1.";#N/A,#N/A,TRUE,"2.";#N/A,#N/A,TRUE,"3.";#N/A,#N/A,TRUE,"4-1";#N/A,#N/A,TRUE,"-2";#N/A,#N/A,TRUE,"-3";#N/A,#N/A,TRUE,"-4";#N/A,#N/A,TRUE,"5-1";#N/A,#N/A,TRUE,"5-2";#N/A,#N/A,TRUE,"6-1";#N/A,#N/A,TRUE,"6-2";#N/A,#N/A,TRUE,"7-1";#N/A,#N/A,TRUE,"7-2";#N/A,#N/A,TRUE,"8.";#N/A,#N/A,TRUE,"9."}</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자" hidden="1">{#N/A,#N/A,TRUE,"목차";#N/A,#N/A,TRUE,"1.";#N/A,#N/A,TRUE,"2.";#N/A,#N/A,TRUE,"3.";#N/A,#N/A,TRUE,"4-1";#N/A,#N/A,TRUE,"-2";#N/A,#N/A,TRUE,"-3";#N/A,#N/A,TRUE,"-4";#N/A,#N/A,TRUE,"5-1";#N/A,#N/A,TRUE,"5-2";#N/A,#N/A,TRUE,"6-1";#N/A,#N/A,TRUE,"6-2";#N/A,#N/A,TRUE,"7-1";#N/A,#N/A,TRUE,"7-2";#N/A,#N/A,TRUE,"8.";#N/A,#N/A,TRUE,"9."}</definedName>
    <definedName name="자재단가" hidden="1">#REF!</definedName>
    <definedName name="자재현황1001" hidden="1">{#N/A,#N/A,TRUE,"LOADCOVE";#N/A,#N/A,TRUE,"PAGE001";#N/A,#N/A,TRUE,"PAGE002";#N/A,#N/A,TRUE,"PAGE003";#N/A,#N/A,TRUE,"PAGE004";#N/A,#N/A,TRUE,"PAGE005";#N/A,#N/A,TRUE,"PAGE006";#N/A,#N/A,TRUE,"PAGE007";#N/A,#N/A,TRUE,"PAGE008";#N/A,#N/A,TRUE,"PAGE009";#N/A,#N/A,TRUE,"PAGE010";#N/A,#N/A,TRUE,"PAGE011";#N/A,#N/A,TRUE,"PAGE012";#N/A,#N/A,TRUE,"PAGE013"}</definedName>
    <definedName name="잠재주간실적" hidden="1">{#N/A,#N/A,TRUE,"LOADCOVE";#N/A,#N/A,TRUE,"PAGE001";#N/A,#N/A,TRUE,"PAGE002";#N/A,#N/A,TRUE,"PAGE003";#N/A,#N/A,TRUE,"PAGE004";#N/A,#N/A,TRUE,"PAGE005";#N/A,#N/A,TRUE,"PAGE006";#N/A,#N/A,TRUE,"PAGE007";#N/A,#N/A,TRUE,"PAGE008";#N/A,#N/A,TRUE,"PAGE009";#N/A,#N/A,TRUE,"PAGE010";#N/A,#N/A,TRUE,"PAGE011";#N/A,#N/A,TRUE,"PAGE012";#N/A,#N/A,TRUE,"PAGE013"}</definedName>
    <definedName name="장기"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장비이관2" hidden="1">{"'매출계획'!$D$2"}</definedName>
    <definedName name="장비이관3" hidden="1">{"'매출계획'!$D$2"}</definedName>
    <definedName name="재활용계획" hidden="1">{#N/A,#N/A,TRUE,"보수내용"}</definedName>
    <definedName name="전력전자"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전사조직도" hidden="1">{"'호선별현황(방식)'!$K$22:$P$22","'호선별현황(방식)'!$K$22:$P$22"}</definedName>
    <definedName name="전장사항" hidden="1">{#N/A,#N/A,TRUE,"목차";#N/A,#N/A,TRUE,"1.";#N/A,#N/A,TRUE,"2.";#N/A,#N/A,TRUE,"3.";#N/A,#N/A,TRUE,"4-1";#N/A,#N/A,TRUE,"-2";#N/A,#N/A,TRUE,"-3";#N/A,#N/A,TRUE,"-4";#N/A,#N/A,TRUE,"5-1";#N/A,#N/A,TRUE,"5-2";#N/A,#N/A,TRUE,"6-1";#N/A,#N/A,TRUE,"6-2";#N/A,#N/A,TRUE,"7-1";#N/A,#N/A,TRUE,"7-2";#N/A,#N/A,TRUE,"8.";#N/A,#N/A,TRUE,"9."}</definedName>
    <definedName name="전전"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전체공정" hidden="1">{#N/A,#N/A,TRUE,"LOADCOVE";#N/A,#N/A,TRUE,"PAGE001";#N/A,#N/A,TRUE,"PAGE002";#N/A,#N/A,TRUE,"PAGE003";#N/A,#N/A,TRUE,"PAGE004";#N/A,#N/A,TRUE,"PAGE005";#N/A,#N/A,TRUE,"PAGE006";#N/A,#N/A,TRUE,"PAGE007";#N/A,#N/A,TRUE,"PAGE008";#N/A,#N/A,TRUE,"PAGE009";#N/A,#N/A,TRUE,"PAGE010";#N/A,#N/A,TRUE,"PAGE011";#N/A,#N/A,TRUE,"PAGE012";#N/A,#N/A,TRUE,"PAGE013"}</definedName>
    <definedName name="절감월" hidden="1">{#N/A,#N/A,TRUE,"LOADCOVE";#N/A,#N/A,TRUE,"PAGE001";#N/A,#N/A,TRUE,"PAGE002";#N/A,#N/A,TRUE,"PAGE003";#N/A,#N/A,TRUE,"PAGE004";#N/A,#N/A,TRUE,"PAGE005";#N/A,#N/A,TRUE,"PAGE006";#N/A,#N/A,TRUE,"PAGE007";#N/A,#N/A,TRUE,"PAGE008";#N/A,#N/A,TRUE,"PAGE009";#N/A,#N/A,TRUE,"PAGE010";#N/A,#N/A,TRUE,"PAGE011";#N/A,#N/A,TRUE,"PAGE012";#N/A,#N/A,TRUE,"PAGE013"}</definedName>
    <definedName name="점검2" hidden="1">{#N/A,#N/A,TRUE,"목차";#N/A,#N/A,TRUE,"1.";#N/A,#N/A,TRUE,"2.";#N/A,#N/A,TRUE,"3.";#N/A,#N/A,TRUE,"4-1";#N/A,#N/A,TRUE,"-2";#N/A,#N/A,TRUE,"-3";#N/A,#N/A,TRUE,"-4";#N/A,#N/A,TRUE,"5-1";#N/A,#N/A,TRUE,"5-2";#N/A,#N/A,TRUE,"6-1";#N/A,#N/A,TRUE,"6-2";#N/A,#N/A,TRUE,"7-1";#N/A,#N/A,TRUE,"7-2";#N/A,#N/A,TRUE,"8.";#N/A,#N/A,TRUE,"9."}</definedName>
    <definedName name="정도" hidden="1">{#N/A,#N/A,TRUE,"목차";#N/A,#N/A,TRUE,"1.";#N/A,#N/A,TRUE,"2.";#N/A,#N/A,TRUE,"3.";#N/A,#N/A,TRUE,"4-1";#N/A,#N/A,TRUE,"-2";#N/A,#N/A,TRUE,"-3";#N/A,#N/A,TRUE,"-4";#N/A,#N/A,TRUE,"5-1";#N/A,#N/A,TRUE,"5-2";#N/A,#N/A,TRUE,"6-1";#N/A,#N/A,TRUE,"6-2";#N/A,#N/A,TRUE,"7-1";#N/A,#N/A,TRUE,"7-2";#N/A,#N/A,TRUE,"8.";#N/A,#N/A,TRUE,"9."}</definedName>
    <definedName name="정리"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정보11월" hidden="1">{#N/A,#N/A,TRUE,"LOADCOVE";#N/A,#N/A,TRUE,"PAGE001";#N/A,#N/A,TRUE,"PAGE002";#N/A,#N/A,TRUE,"PAGE003";#N/A,#N/A,TRUE,"PAGE004";#N/A,#N/A,TRUE,"PAGE005";#N/A,#N/A,TRUE,"PAGE006";#N/A,#N/A,TRUE,"PAGE007";#N/A,#N/A,TRUE,"PAGE008";#N/A,#N/A,TRUE,"PAGE009";#N/A,#N/A,TRUE,"PAGE010";#N/A,#N/A,TRUE,"PAGE011";#N/A,#N/A,TRUE,"PAGE012";#N/A,#N/A,TRUE,"PAGE013"}</definedName>
    <definedName name="정보2" hidden="1">{#N/A,#N/A,TRUE,"목차";#N/A,#N/A,TRUE,"1.";#N/A,#N/A,TRUE,"2.";#N/A,#N/A,TRUE,"3.";#N/A,#N/A,TRUE,"4-1";#N/A,#N/A,TRUE,"-2";#N/A,#N/A,TRUE,"-3";#N/A,#N/A,TRUE,"-4";#N/A,#N/A,TRUE,"5-1";#N/A,#N/A,TRUE,"5-2";#N/A,#N/A,TRUE,"6-1";#N/A,#N/A,TRUE,"6-2";#N/A,#N/A,TRUE,"7-1";#N/A,#N/A,TRUE,"7-2";#N/A,#N/A,TRUE,"8.";#N/A,#N/A,TRUE,"9."}</definedName>
    <definedName name="정재경" hidden="1">{"'매출계획'!$D$2"}</definedName>
    <definedName name="제관" hidden="1">{#N/A,#N/A,TRUE,"목차";#N/A,#N/A,TRUE,"1.";#N/A,#N/A,TRUE,"2.";#N/A,#N/A,TRUE,"3.";#N/A,#N/A,TRUE,"4-1";#N/A,#N/A,TRUE,"-2";#N/A,#N/A,TRUE,"-3";#N/A,#N/A,TRUE,"-4";#N/A,#N/A,TRUE,"5-1";#N/A,#N/A,TRUE,"5-2";#N/A,#N/A,TRUE,"6-1";#N/A,#N/A,TRUE,"6-2";#N/A,#N/A,TRUE,"7-1";#N/A,#N/A,TRUE,"7-2";#N/A,#N/A,TRUE,"8.";#N/A,#N/A,TRUE,"9."}</definedName>
    <definedName name="제안" hidden="1">{#N/A,#N/A,TRUE,"LOADCOVE";#N/A,#N/A,TRUE,"PAGE001";#N/A,#N/A,TRUE,"PAGE002";#N/A,#N/A,TRUE,"PAGE003";#N/A,#N/A,TRUE,"PAGE004";#N/A,#N/A,TRUE,"PAGE005";#N/A,#N/A,TRUE,"PAGE006";#N/A,#N/A,TRUE,"PAGE007";#N/A,#N/A,TRUE,"PAGE008";#N/A,#N/A,TRUE,"PAGE009";#N/A,#N/A,TRUE,"PAGE010";#N/A,#N/A,TRUE,"PAGE011";#N/A,#N/A,TRUE,"PAGE012";#N/A,#N/A,TRUE,"PAGE013"}</definedName>
    <definedName name="제안1" hidden="1">{#N/A,#N/A,TRUE,"LOADCOVE";#N/A,#N/A,TRUE,"PAGE001";#N/A,#N/A,TRUE,"PAGE002";#N/A,#N/A,TRUE,"PAGE003";#N/A,#N/A,TRUE,"PAGE004";#N/A,#N/A,TRUE,"PAGE005";#N/A,#N/A,TRUE,"PAGE006";#N/A,#N/A,TRUE,"PAGE007";#N/A,#N/A,TRUE,"PAGE008";#N/A,#N/A,TRUE,"PAGE009";#N/A,#N/A,TRUE,"PAGE010";#N/A,#N/A,TRUE,"PAGE011";#N/A,#N/A,TRUE,"PAGE012";#N/A,#N/A,TRUE,"PAGE013"}</definedName>
    <definedName name="제안10" hidden="1">{#N/A,#N/A,TRUE,"LOADCOVE";#N/A,#N/A,TRUE,"PAGE001";#N/A,#N/A,TRUE,"PAGE002";#N/A,#N/A,TRUE,"PAGE003";#N/A,#N/A,TRUE,"PAGE004";#N/A,#N/A,TRUE,"PAGE005";#N/A,#N/A,TRUE,"PAGE006";#N/A,#N/A,TRUE,"PAGE007";#N/A,#N/A,TRUE,"PAGE008";#N/A,#N/A,TRUE,"PAGE009";#N/A,#N/A,TRUE,"PAGE010";#N/A,#N/A,TRUE,"PAGE011";#N/A,#N/A,TRUE,"PAGE012";#N/A,#N/A,TRUE,"PAGE013"}</definedName>
    <definedName name="제안11" hidden="1">{#N/A,#N/A,TRUE,"LOADCOVE";#N/A,#N/A,TRUE,"PAGE001";#N/A,#N/A,TRUE,"PAGE002";#N/A,#N/A,TRUE,"PAGE003";#N/A,#N/A,TRUE,"PAGE004";#N/A,#N/A,TRUE,"PAGE005";#N/A,#N/A,TRUE,"PAGE006";#N/A,#N/A,TRUE,"PAGE007";#N/A,#N/A,TRUE,"PAGE008";#N/A,#N/A,TRUE,"PAGE009";#N/A,#N/A,TRUE,"PAGE010";#N/A,#N/A,TRUE,"PAGE011";#N/A,#N/A,TRUE,"PAGE012";#N/A,#N/A,TRUE,"PAGE013"}</definedName>
    <definedName name="제안12" hidden="1">{#N/A,#N/A,TRUE,"LOADCOVE";#N/A,#N/A,TRUE,"PAGE001";#N/A,#N/A,TRUE,"PAGE002";#N/A,#N/A,TRUE,"PAGE003";#N/A,#N/A,TRUE,"PAGE004";#N/A,#N/A,TRUE,"PAGE005";#N/A,#N/A,TRUE,"PAGE006";#N/A,#N/A,TRUE,"PAGE007";#N/A,#N/A,TRUE,"PAGE008";#N/A,#N/A,TRUE,"PAGE009";#N/A,#N/A,TRUE,"PAGE010";#N/A,#N/A,TRUE,"PAGE011";#N/A,#N/A,TRUE,"PAGE012";#N/A,#N/A,TRUE,"PAGE013"}</definedName>
    <definedName name="제안13" hidden="1">{#N/A,#N/A,TRUE,"LOADCOVE";#N/A,#N/A,TRUE,"PAGE001";#N/A,#N/A,TRUE,"PAGE002";#N/A,#N/A,TRUE,"PAGE003";#N/A,#N/A,TRUE,"PAGE004";#N/A,#N/A,TRUE,"PAGE005";#N/A,#N/A,TRUE,"PAGE006";#N/A,#N/A,TRUE,"PAGE007";#N/A,#N/A,TRUE,"PAGE008";#N/A,#N/A,TRUE,"PAGE009";#N/A,#N/A,TRUE,"PAGE010";#N/A,#N/A,TRUE,"PAGE011";#N/A,#N/A,TRUE,"PAGE012";#N/A,#N/A,TRUE,"PAGE013"}</definedName>
    <definedName name="제안14" hidden="1">{#N/A,#N/A,TRUE,"LOADCOVE";#N/A,#N/A,TRUE,"PAGE001";#N/A,#N/A,TRUE,"PAGE002";#N/A,#N/A,TRUE,"PAGE003";#N/A,#N/A,TRUE,"PAGE004";#N/A,#N/A,TRUE,"PAGE005";#N/A,#N/A,TRUE,"PAGE006";#N/A,#N/A,TRUE,"PAGE007";#N/A,#N/A,TRUE,"PAGE008";#N/A,#N/A,TRUE,"PAGE009";#N/A,#N/A,TRUE,"PAGE010";#N/A,#N/A,TRUE,"PAGE011";#N/A,#N/A,TRUE,"PAGE012";#N/A,#N/A,TRUE,"PAGE013"}</definedName>
    <definedName name="제안15" hidden="1">{#N/A,#N/A,TRUE,"LOADCOVE";#N/A,#N/A,TRUE,"PAGE001";#N/A,#N/A,TRUE,"PAGE002";#N/A,#N/A,TRUE,"PAGE003";#N/A,#N/A,TRUE,"PAGE004";#N/A,#N/A,TRUE,"PAGE005";#N/A,#N/A,TRUE,"PAGE006";#N/A,#N/A,TRUE,"PAGE007";#N/A,#N/A,TRUE,"PAGE008";#N/A,#N/A,TRUE,"PAGE009";#N/A,#N/A,TRUE,"PAGE010";#N/A,#N/A,TRUE,"PAGE011";#N/A,#N/A,TRUE,"PAGE012";#N/A,#N/A,TRUE,"PAGE013"}</definedName>
    <definedName name="제안16" hidden="1">{#N/A,#N/A,TRUE,"LOADCOVE";#N/A,#N/A,TRUE,"PAGE001";#N/A,#N/A,TRUE,"PAGE002";#N/A,#N/A,TRUE,"PAGE003";#N/A,#N/A,TRUE,"PAGE004";#N/A,#N/A,TRUE,"PAGE005";#N/A,#N/A,TRUE,"PAGE006";#N/A,#N/A,TRUE,"PAGE007";#N/A,#N/A,TRUE,"PAGE008";#N/A,#N/A,TRUE,"PAGE009";#N/A,#N/A,TRUE,"PAGE010";#N/A,#N/A,TRUE,"PAGE011";#N/A,#N/A,TRUE,"PAGE012";#N/A,#N/A,TRUE,"PAGE013"}</definedName>
    <definedName name="제안17" hidden="1">{#N/A,#N/A,TRUE,"LOADCOVE";#N/A,#N/A,TRUE,"PAGE001";#N/A,#N/A,TRUE,"PAGE002";#N/A,#N/A,TRUE,"PAGE003";#N/A,#N/A,TRUE,"PAGE004";#N/A,#N/A,TRUE,"PAGE005";#N/A,#N/A,TRUE,"PAGE006";#N/A,#N/A,TRUE,"PAGE007";#N/A,#N/A,TRUE,"PAGE008";#N/A,#N/A,TRUE,"PAGE009";#N/A,#N/A,TRUE,"PAGE010";#N/A,#N/A,TRUE,"PAGE011";#N/A,#N/A,TRUE,"PAGE012";#N/A,#N/A,TRUE,"PAGE013"}</definedName>
    <definedName name="제안18" hidden="1">{#N/A,#N/A,TRUE,"LOADCOVE";#N/A,#N/A,TRUE,"PAGE001";#N/A,#N/A,TRUE,"PAGE002";#N/A,#N/A,TRUE,"PAGE003";#N/A,#N/A,TRUE,"PAGE004";#N/A,#N/A,TRUE,"PAGE005";#N/A,#N/A,TRUE,"PAGE006";#N/A,#N/A,TRUE,"PAGE007";#N/A,#N/A,TRUE,"PAGE008";#N/A,#N/A,TRUE,"PAGE009";#N/A,#N/A,TRUE,"PAGE010";#N/A,#N/A,TRUE,"PAGE011";#N/A,#N/A,TRUE,"PAGE012";#N/A,#N/A,TRUE,"PAGE013"}</definedName>
    <definedName name="제안19" hidden="1">{#N/A,#N/A,TRUE,"LOADCOVE";#N/A,#N/A,TRUE,"PAGE001";#N/A,#N/A,TRUE,"PAGE002";#N/A,#N/A,TRUE,"PAGE003";#N/A,#N/A,TRUE,"PAGE004";#N/A,#N/A,TRUE,"PAGE005";#N/A,#N/A,TRUE,"PAGE006";#N/A,#N/A,TRUE,"PAGE007";#N/A,#N/A,TRUE,"PAGE008";#N/A,#N/A,TRUE,"PAGE009";#N/A,#N/A,TRUE,"PAGE010";#N/A,#N/A,TRUE,"PAGE011";#N/A,#N/A,TRUE,"PAGE012";#N/A,#N/A,TRUE,"PAGE013"}</definedName>
    <definedName name="제안2" hidden="1">{#N/A,#N/A,TRUE,"LOADCOVE";#N/A,#N/A,TRUE,"PAGE001";#N/A,#N/A,TRUE,"PAGE002";#N/A,#N/A,TRUE,"PAGE003";#N/A,#N/A,TRUE,"PAGE004";#N/A,#N/A,TRUE,"PAGE005";#N/A,#N/A,TRUE,"PAGE006";#N/A,#N/A,TRUE,"PAGE007";#N/A,#N/A,TRUE,"PAGE008";#N/A,#N/A,TRUE,"PAGE009";#N/A,#N/A,TRUE,"PAGE010";#N/A,#N/A,TRUE,"PAGE011";#N/A,#N/A,TRUE,"PAGE012";#N/A,#N/A,TRUE,"PAGE013"}</definedName>
    <definedName name="제안20" hidden="1">{#N/A,#N/A,TRUE,"LOADCOVE";#N/A,#N/A,TRUE,"PAGE001";#N/A,#N/A,TRUE,"PAGE002";#N/A,#N/A,TRUE,"PAGE003";#N/A,#N/A,TRUE,"PAGE004";#N/A,#N/A,TRUE,"PAGE005";#N/A,#N/A,TRUE,"PAGE006";#N/A,#N/A,TRUE,"PAGE007";#N/A,#N/A,TRUE,"PAGE008";#N/A,#N/A,TRUE,"PAGE009";#N/A,#N/A,TRUE,"PAGE010";#N/A,#N/A,TRUE,"PAGE011";#N/A,#N/A,TRUE,"PAGE012";#N/A,#N/A,TRUE,"PAGE013"}</definedName>
    <definedName name="제안3" hidden="1">{#N/A,#N/A,TRUE,"LOADCOVE";#N/A,#N/A,TRUE,"PAGE001";#N/A,#N/A,TRUE,"PAGE002";#N/A,#N/A,TRUE,"PAGE003";#N/A,#N/A,TRUE,"PAGE004";#N/A,#N/A,TRUE,"PAGE005";#N/A,#N/A,TRUE,"PAGE006";#N/A,#N/A,TRUE,"PAGE007";#N/A,#N/A,TRUE,"PAGE008";#N/A,#N/A,TRUE,"PAGE009";#N/A,#N/A,TRUE,"PAGE010";#N/A,#N/A,TRUE,"PAGE011";#N/A,#N/A,TRUE,"PAGE012";#N/A,#N/A,TRUE,"PAGE013"}</definedName>
    <definedName name="제안4" hidden="1">{#N/A,#N/A,TRUE,"LOADCOVE";#N/A,#N/A,TRUE,"PAGE001";#N/A,#N/A,TRUE,"PAGE002";#N/A,#N/A,TRUE,"PAGE003";#N/A,#N/A,TRUE,"PAGE004";#N/A,#N/A,TRUE,"PAGE005";#N/A,#N/A,TRUE,"PAGE006";#N/A,#N/A,TRUE,"PAGE007";#N/A,#N/A,TRUE,"PAGE008";#N/A,#N/A,TRUE,"PAGE009";#N/A,#N/A,TRUE,"PAGE010";#N/A,#N/A,TRUE,"PAGE011";#N/A,#N/A,TRUE,"PAGE012";#N/A,#N/A,TRUE,"PAGE013"}</definedName>
    <definedName name="제안5" hidden="1">{#N/A,#N/A,TRUE,"LOADCOVE";#N/A,#N/A,TRUE,"PAGE001";#N/A,#N/A,TRUE,"PAGE002";#N/A,#N/A,TRUE,"PAGE003";#N/A,#N/A,TRUE,"PAGE004";#N/A,#N/A,TRUE,"PAGE005";#N/A,#N/A,TRUE,"PAGE006";#N/A,#N/A,TRUE,"PAGE007";#N/A,#N/A,TRUE,"PAGE008";#N/A,#N/A,TRUE,"PAGE009";#N/A,#N/A,TRUE,"PAGE010";#N/A,#N/A,TRUE,"PAGE011";#N/A,#N/A,TRUE,"PAGE012";#N/A,#N/A,TRUE,"PAGE013"}</definedName>
    <definedName name="제안6" hidden="1">{#N/A,#N/A,TRUE,"LOADCOVE";#N/A,#N/A,TRUE,"PAGE001";#N/A,#N/A,TRUE,"PAGE002";#N/A,#N/A,TRUE,"PAGE003";#N/A,#N/A,TRUE,"PAGE004";#N/A,#N/A,TRUE,"PAGE005";#N/A,#N/A,TRUE,"PAGE006";#N/A,#N/A,TRUE,"PAGE007";#N/A,#N/A,TRUE,"PAGE008";#N/A,#N/A,TRUE,"PAGE009";#N/A,#N/A,TRUE,"PAGE010";#N/A,#N/A,TRUE,"PAGE011";#N/A,#N/A,TRUE,"PAGE012";#N/A,#N/A,TRUE,"PAGE013"}</definedName>
    <definedName name="제안7" hidden="1">{#N/A,#N/A,TRUE,"LOADCOVE";#N/A,#N/A,TRUE,"PAGE001";#N/A,#N/A,TRUE,"PAGE002";#N/A,#N/A,TRUE,"PAGE003";#N/A,#N/A,TRUE,"PAGE004";#N/A,#N/A,TRUE,"PAGE005";#N/A,#N/A,TRUE,"PAGE006";#N/A,#N/A,TRUE,"PAGE007";#N/A,#N/A,TRUE,"PAGE008";#N/A,#N/A,TRUE,"PAGE009";#N/A,#N/A,TRUE,"PAGE010";#N/A,#N/A,TRUE,"PAGE011";#N/A,#N/A,TRUE,"PAGE012";#N/A,#N/A,TRUE,"PAGE013"}</definedName>
    <definedName name="제안8" hidden="1">{#N/A,#N/A,TRUE,"LOADCOVE";#N/A,#N/A,TRUE,"PAGE001";#N/A,#N/A,TRUE,"PAGE002";#N/A,#N/A,TRUE,"PAGE003";#N/A,#N/A,TRUE,"PAGE004";#N/A,#N/A,TRUE,"PAGE005";#N/A,#N/A,TRUE,"PAGE006";#N/A,#N/A,TRUE,"PAGE007";#N/A,#N/A,TRUE,"PAGE008";#N/A,#N/A,TRUE,"PAGE009";#N/A,#N/A,TRUE,"PAGE010";#N/A,#N/A,TRUE,"PAGE011";#N/A,#N/A,TRUE,"PAGE012";#N/A,#N/A,TRUE,"PAGE013"}</definedName>
    <definedName name="제안9" hidden="1">{#N/A,#N/A,TRUE,"LOADCOVE";#N/A,#N/A,TRUE,"PAGE001";#N/A,#N/A,TRUE,"PAGE002";#N/A,#N/A,TRUE,"PAGE003";#N/A,#N/A,TRUE,"PAGE004";#N/A,#N/A,TRUE,"PAGE005";#N/A,#N/A,TRUE,"PAGE006";#N/A,#N/A,TRUE,"PAGE007";#N/A,#N/A,TRUE,"PAGE008";#N/A,#N/A,TRUE,"PAGE009";#N/A,#N/A,TRUE,"PAGE010";#N/A,#N/A,TRUE,"PAGE011";#N/A,#N/A,TRUE,"PAGE012";#N/A,#N/A,TRUE,"PAGE013"}</definedName>
    <definedName name="제일" hidden="1">{#N/A,#N/A,FALSE,"부서종합";#N/A,#N/A,FALSE,"DISC종합";#N/A,#N/A,FALSE,"생산1과";#N/A,#N/A,FALSE,"생산2과";#N/A,#N/A,FALSE,"전기계장";#N/A,#N/A,FALSE,"기계";#N/A,#N/A,FALSE,"철의장";#N/A,#N/A,FALSE,"거주구";#N/A,#N/A,FALSE,"HVAC"}</definedName>
    <definedName name="제재3" hidden="1">{#N/A,#N/A,TRUE,"LOADCOVE";#N/A,#N/A,TRUE,"PAGE001";#N/A,#N/A,TRUE,"PAGE002";#N/A,#N/A,TRUE,"PAGE003";#N/A,#N/A,TRUE,"PAGE004";#N/A,#N/A,TRUE,"PAGE005";#N/A,#N/A,TRUE,"PAGE006";#N/A,#N/A,TRUE,"PAGE007";#N/A,#N/A,TRUE,"PAGE008";#N/A,#N/A,TRUE,"PAGE009";#N/A,#N/A,TRUE,"PAGE010";#N/A,#N/A,TRUE,"PAGE011";#N/A,#N/A,TRUE,"PAGE012";#N/A,#N/A,TRUE,"PAGE013"}</definedName>
    <definedName name="제조" hidden="1">#REF!</definedName>
    <definedName name="조립LOAD" hidden="1">{"'매출계획'!$D$2"}</definedName>
    <definedName name="조립계획" hidden="1">{"'매출계획'!$D$2"}</definedName>
    <definedName name="조립외주" hidden="1">{"'매출계획'!$D$2"}</definedName>
    <definedName name="조만택" hidden="1">{#N/A,#N/A,TRUE,"목차";#N/A,#N/A,TRUE,"1.";#N/A,#N/A,TRUE,"2.";#N/A,#N/A,TRUE,"3.";#N/A,#N/A,TRUE,"4-1";#N/A,#N/A,TRUE,"-2";#N/A,#N/A,TRUE,"-3";#N/A,#N/A,TRUE,"-4";#N/A,#N/A,TRUE,"5-1";#N/A,#N/A,TRUE,"5-2";#N/A,#N/A,TRUE,"6-1";#N/A,#N/A,TRUE,"6-2";#N/A,#N/A,TRUE,"7-1";#N/A,#N/A,TRUE,"7-2";#N/A,#N/A,TRUE,"8.";#N/A,#N/A,TRUE,"9."}</definedName>
    <definedName name="조선" hidden="1">{#N/A,#N/A,TRUE,"목차";#N/A,#N/A,TRUE,"1.";#N/A,#N/A,TRUE,"2.";#N/A,#N/A,TRUE,"3.";#N/A,#N/A,TRUE,"4-1";#N/A,#N/A,TRUE,"-2";#N/A,#N/A,TRUE,"-3";#N/A,#N/A,TRUE,"-4";#N/A,#N/A,TRUE,"5-1";#N/A,#N/A,TRUE,"5-2";#N/A,#N/A,TRUE,"6-1";#N/A,#N/A,TRUE,"6-2";#N/A,#N/A,TRUE,"7-1";#N/A,#N/A,TRUE,"7-2";#N/A,#N/A,TRUE,"8.";#N/A,#N/A,TRUE,"9."}</definedName>
    <definedName name="조용" hidden="1">{#N/A,#N/A,TRUE,"LOADCOVE";#N/A,#N/A,TRUE,"PAGE001";#N/A,#N/A,TRUE,"PAGE002";#N/A,#N/A,TRUE,"PAGE003";#N/A,#N/A,TRUE,"PAGE004";#N/A,#N/A,TRUE,"PAGE005";#N/A,#N/A,TRUE,"PAGE006";#N/A,#N/A,TRUE,"PAGE007";#N/A,#N/A,TRUE,"PAGE008";#N/A,#N/A,TRUE,"PAGE009";#N/A,#N/A,TRUE,"PAGE010";#N/A,#N/A,TRUE,"PAGE011";#N/A,#N/A,TRUE,"PAGE012";#N/A,#N/A,TRUE,"PAGE013"}</definedName>
    <definedName name="조정" hidden="1">{"'매출계획'!$D$2"}</definedName>
    <definedName name="조직2" hidden="1">{#N/A,#N/A,TRUE,"목차";#N/A,#N/A,TRUE,"1.";#N/A,#N/A,TRUE,"2.";#N/A,#N/A,TRUE,"3.";#N/A,#N/A,TRUE,"4-1";#N/A,#N/A,TRUE,"-2";#N/A,#N/A,TRUE,"-3";#N/A,#N/A,TRUE,"-4";#N/A,#N/A,TRUE,"5-1";#N/A,#N/A,TRUE,"5-2";#N/A,#N/A,TRUE,"6-1";#N/A,#N/A,TRUE,"6-2";#N/A,#N/A,TRUE,"7-1";#N/A,#N/A,TRUE,"7-2";#N/A,#N/A,TRUE,"8.";#N/A,#N/A,TRUE,"9."}</definedName>
    <definedName name="조직표" hidden="1">{#N/A,#N/A,TRUE,"LOADCOVE";#N/A,#N/A,TRUE,"PAGE001";#N/A,#N/A,TRUE,"PAGE002";#N/A,#N/A,TRUE,"PAGE003";#N/A,#N/A,TRUE,"PAGE004";#N/A,#N/A,TRUE,"PAGE005";#N/A,#N/A,TRUE,"PAGE006";#N/A,#N/A,TRUE,"PAGE007";#N/A,#N/A,TRUE,"PAGE008";#N/A,#N/A,TRUE,"PAGE009";#N/A,#N/A,TRUE,"PAGE010";#N/A,#N/A,TRUE,"PAGE011";#N/A,#N/A,TRUE,"PAGE012";#N/A,#N/A,TRUE,"PAGE013"}</definedName>
    <definedName name="족" hidden="1">{#N/A,#N/A,TRUE,"LOADCOVE";#N/A,#N/A,TRUE,"PAGE001";#N/A,#N/A,TRUE,"PAGE002";#N/A,#N/A,TRUE,"PAGE003";#N/A,#N/A,TRUE,"PAGE004";#N/A,#N/A,TRUE,"PAGE005";#N/A,#N/A,TRUE,"PAGE006";#N/A,#N/A,TRUE,"PAGE007";#N/A,#N/A,TRUE,"PAGE008";#N/A,#N/A,TRUE,"PAGE009";#N/A,#N/A,TRUE,"PAGE010";#N/A,#N/A,TRUE,"PAGE011";#N/A,#N/A,TRUE,"PAGE012";#N/A,#N/A,TRUE,"PAGE013"}</definedName>
    <definedName name="족장" hidden="1">{"'매출계획'!$D$2"}</definedName>
    <definedName name="족장2" hidden="1">{#N/A,#N/A,TRUE,"LOADCOVE";#N/A,#N/A,TRUE,"PAGE001";#N/A,#N/A,TRUE,"PAGE002";#N/A,#N/A,TRUE,"PAGE003";#N/A,#N/A,TRUE,"PAGE004";#N/A,#N/A,TRUE,"PAGE005";#N/A,#N/A,TRUE,"PAGE006";#N/A,#N/A,TRUE,"PAGE007";#N/A,#N/A,TRUE,"PAGE008";#N/A,#N/A,TRUE,"PAGE009";#N/A,#N/A,TRUE,"PAGE010";#N/A,#N/A,TRUE,"PAGE011";#N/A,#N/A,TRUE,"PAGE012";#N/A,#N/A,TRUE,"PAGE013"}</definedName>
    <definedName name="족장개선" hidden="1">{"'매출계획'!$D$2"}</definedName>
    <definedName name="족장누계" hidden="1">{"'매출계획'!$D$2"}</definedName>
    <definedName name="족장누계2" hidden="1">{"'매출계획'!$D$2"}</definedName>
    <definedName name="종3" hidden="1">{#N/A,#N/A,TRUE,"LOADCOVE";#N/A,#N/A,TRUE,"PAGE001";#N/A,#N/A,TRUE,"PAGE002";#N/A,#N/A,TRUE,"PAGE003";#N/A,#N/A,TRUE,"PAGE004";#N/A,#N/A,TRUE,"PAGE005";#N/A,#N/A,TRUE,"PAGE006";#N/A,#N/A,TRUE,"PAGE007";#N/A,#N/A,TRUE,"PAGE008";#N/A,#N/A,TRUE,"PAGE009";#N/A,#N/A,TRUE,"PAGE010";#N/A,#N/A,TRUE,"PAGE011";#N/A,#N/A,TRUE,"PAGE012";#N/A,#N/A,TRUE,"PAGE013"}</definedName>
    <definedName name="종합2" hidden="1">{"'매출계획'!$D$2"}</definedName>
    <definedName name="종합3" hidden="1">{#N/A,#N/A,TRUE,"LOADCOVE";#N/A,#N/A,TRUE,"PAGE001";#N/A,#N/A,TRUE,"PAGE002";#N/A,#N/A,TRUE,"PAGE003";#N/A,#N/A,TRUE,"PAGE004";#N/A,#N/A,TRUE,"PAGE005";#N/A,#N/A,TRUE,"PAGE006";#N/A,#N/A,TRUE,"PAGE007";#N/A,#N/A,TRUE,"PAGE008";#N/A,#N/A,TRUE,"PAGE009";#N/A,#N/A,TRUE,"PAGE010";#N/A,#N/A,TRUE,"PAGE011";#N/A,#N/A,TRUE,"PAGE012";#N/A,#N/A,TRUE,"PAGE013"}</definedName>
    <definedName name="종합4" hidden="1">{#N/A,#N/A,TRUE,"LOADCOVE";#N/A,#N/A,TRUE,"PAGE001";#N/A,#N/A,TRUE,"PAGE002";#N/A,#N/A,TRUE,"PAGE003";#N/A,#N/A,TRUE,"PAGE004";#N/A,#N/A,TRUE,"PAGE005";#N/A,#N/A,TRUE,"PAGE006";#N/A,#N/A,TRUE,"PAGE007";#N/A,#N/A,TRUE,"PAGE008";#N/A,#N/A,TRUE,"PAGE009";#N/A,#N/A,TRUE,"PAGE010";#N/A,#N/A,TRUE,"PAGE011";#N/A,#N/A,TRUE,"PAGE012";#N/A,#N/A,TRUE,"PAGE013"}</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간" hidden="1">{#N/A,#N/A,FALSE,"지침";#N/A,#N/A,FALSE,"환경분석";#N/A,#N/A,FALSE,"Sheet16"}</definedName>
    <definedName name="주별자금계획" hidden="1">{#N/A,#N/A,TRUE,"LOADCOVE";#N/A,#N/A,TRUE,"PAGE001";#N/A,#N/A,TRUE,"PAGE002";#N/A,#N/A,TRUE,"PAGE003";#N/A,#N/A,TRUE,"PAGE004";#N/A,#N/A,TRUE,"PAGE005";#N/A,#N/A,TRUE,"PAGE006";#N/A,#N/A,TRUE,"PAGE007";#N/A,#N/A,TRUE,"PAGE008";#N/A,#N/A,TRUE,"PAGE009";#N/A,#N/A,TRUE,"PAGE010";#N/A,#N/A,TRUE,"PAGE011";#N/A,#N/A,TRUE,"PAGE012";#N/A,#N/A,TRUE,"PAGE013"}</definedName>
    <definedName name="주영석" hidden="1">{#N/A,#N/A,FALSE,"부서종합";#N/A,#N/A,FALSE,"DISC종합";#N/A,#N/A,FALSE,"생산1과";#N/A,#N/A,FALSE,"생산2과";#N/A,#N/A,FALSE,"전기계장";#N/A,#N/A,FALSE,"기계";#N/A,#N/A,FALSE,"철의장";#N/A,#N/A,FALSE,"거주구";#N/A,#N/A,FALSE,"HVAC"}</definedName>
    <definedName name="주요신규투자" hidden="1">{#N/A,#N/A,TRUE,"목차";#N/A,#N/A,TRUE,"1.";#N/A,#N/A,TRUE,"2.";#N/A,#N/A,TRUE,"3.";#N/A,#N/A,TRUE,"4-1";#N/A,#N/A,TRUE,"-2";#N/A,#N/A,TRUE,"-3";#N/A,#N/A,TRUE,"-4";#N/A,#N/A,TRUE,"5-1";#N/A,#N/A,TRUE,"5-2";#N/A,#N/A,TRUE,"6-1";#N/A,#N/A,TRUE,"6-2";#N/A,#N/A,TRUE,"7-1";#N/A,#N/A,TRUE,"7-2";#N/A,#N/A,TRUE,"8.";#N/A,#N/A,TRUE,"9."}</definedName>
    <definedName name="주요지수2" hidden="1">{"'매출계획'!$D$2"}</definedName>
    <definedName name="주요지수22222" hidden="1">{"'매출계획'!$D$2"}</definedName>
    <definedName name="중전2" hidden="1">{#N/A,#N/A,TRUE,"목차";#N/A,#N/A,TRUE,"1.";#N/A,#N/A,TRUE,"2.";#N/A,#N/A,TRUE,"3.";#N/A,#N/A,TRUE,"4-1";#N/A,#N/A,TRUE,"-2";#N/A,#N/A,TRUE,"-3";#N/A,#N/A,TRUE,"-4";#N/A,#N/A,TRUE,"5-1";#N/A,#N/A,TRUE,"5-2";#N/A,#N/A,TRUE,"6-1";#N/A,#N/A,TRUE,"6-2";#N/A,#N/A,TRUE,"7-1";#N/A,#N/A,TRUE,"7-2";#N/A,#N/A,TRUE,"8.";#N/A,#N/A,TRUE,"9."}</definedName>
    <definedName name="중점" hidden="1">{#N/A,#N/A,TRUE,"목차";#N/A,#N/A,TRUE,"1.";#N/A,#N/A,TRUE,"2.";#N/A,#N/A,TRUE,"3.";#N/A,#N/A,TRUE,"4-1";#N/A,#N/A,TRUE,"-2";#N/A,#N/A,TRUE,"-3";#N/A,#N/A,TRUE,"-4";#N/A,#N/A,TRUE,"5-1";#N/A,#N/A,TRUE,"5-2";#N/A,#N/A,TRUE,"6-1";#N/A,#N/A,TRUE,"6-2";#N/A,#N/A,TRUE,"7-1";#N/A,#N/A,TRUE,"7-2";#N/A,#N/A,TRUE,"8.";#N/A,#N/A,TRUE,"9."}</definedName>
    <definedName name="중점1" hidden="1">{#N/A,#N/A,TRUE,"목차";#N/A,#N/A,TRUE,"1.";#N/A,#N/A,TRUE,"2.";#N/A,#N/A,TRUE,"3.";#N/A,#N/A,TRUE,"4-1";#N/A,#N/A,TRUE,"-2";#N/A,#N/A,TRUE,"-3";#N/A,#N/A,TRUE,"-4";#N/A,#N/A,TRUE,"5-1";#N/A,#N/A,TRUE,"5-2";#N/A,#N/A,TRUE,"6-1";#N/A,#N/A,TRUE,"6-2";#N/A,#N/A,TRUE,"7-1";#N/A,#N/A,TRUE,"7-2";#N/A,#N/A,TRUE,"8.";#N/A,#N/A,TRUE,"9."}</definedName>
    <definedName name="중점계획" hidden="1">{#N/A,#N/A,TRUE,"목차";#N/A,#N/A,TRUE,"1.";#N/A,#N/A,TRUE,"2.";#N/A,#N/A,TRUE,"3.";#N/A,#N/A,TRUE,"4-1";#N/A,#N/A,TRUE,"-2";#N/A,#N/A,TRUE,"-3";#N/A,#N/A,TRUE,"-4";#N/A,#N/A,TRUE,"5-1";#N/A,#N/A,TRUE,"5-2";#N/A,#N/A,TRUE,"6-1";#N/A,#N/A,TRUE,"6-2";#N/A,#N/A,TRUE,"7-1";#N/A,#N/A,TRUE,"7-2";#N/A,#N/A,TRUE,"8.";#N/A,#N/A,TRUE,"9."}</definedName>
    <definedName name="중점추진" hidden="1">{#N/A,#N/A,TRUE,"목차";#N/A,#N/A,TRUE,"1.";#N/A,#N/A,TRUE,"2.";#N/A,#N/A,TRUE,"3.";#N/A,#N/A,TRUE,"4-1";#N/A,#N/A,TRUE,"-2";#N/A,#N/A,TRUE,"-3";#N/A,#N/A,TRUE,"-4";#N/A,#N/A,TRUE,"5-1";#N/A,#N/A,TRUE,"5-2";#N/A,#N/A,TRUE,"6-1";#N/A,#N/A,TRUE,"6-2";#N/A,#N/A,TRUE,"7-1";#N/A,#N/A,TRUE,"7-2";#N/A,#N/A,TRUE,"8.";#N/A,#N/A,TRUE,"9."}</definedName>
    <definedName name="중점품질" hidden="1">{#N/A,#N/A,TRUE,"목차";#N/A,#N/A,TRUE,"1.";#N/A,#N/A,TRUE,"2.";#N/A,#N/A,TRUE,"3.";#N/A,#N/A,TRUE,"4-1";#N/A,#N/A,TRUE,"-2";#N/A,#N/A,TRUE,"-3";#N/A,#N/A,TRUE,"-4";#N/A,#N/A,TRUE,"5-1";#N/A,#N/A,TRUE,"5-2";#N/A,#N/A,TRUE,"6-1";#N/A,#N/A,TRUE,"6-2";#N/A,#N/A,TRUE,"7-1";#N/A,#N/A,TRUE,"7-2";#N/A,#N/A,TRUE,"8.";#N/A,#N/A,TRUE,"9."}</definedName>
    <definedName name="중접3" hidden="1">{#N/A,#N/A,TRUE,"목차";#N/A,#N/A,TRUE,"1.";#N/A,#N/A,TRUE,"2.";#N/A,#N/A,TRUE,"3.";#N/A,#N/A,TRUE,"4-1";#N/A,#N/A,TRUE,"-2";#N/A,#N/A,TRUE,"-3";#N/A,#N/A,TRUE,"-4";#N/A,#N/A,TRUE,"5-1";#N/A,#N/A,TRUE,"5-2";#N/A,#N/A,TRUE,"6-1";#N/A,#N/A,TRUE,"6-2";#N/A,#N/A,TRUE,"7-1";#N/A,#N/A,TRUE,"7-2";#N/A,#N/A,TRUE,"8.";#N/A,#N/A,TRUE,"9."}</definedName>
    <definedName name="중정" hidden="1">{#N/A,#N/A,TRUE,"LOADCOVE";#N/A,#N/A,TRUE,"PAGE001";#N/A,#N/A,TRUE,"PAGE002";#N/A,#N/A,TRUE,"PAGE003";#N/A,#N/A,TRUE,"PAGE004";#N/A,#N/A,TRUE,"PAGE005";#N/A,#N/A,TRUE,"PAGE006";#N/A,#N/A,TRUE,"PAGE007";#N/A,#N/A,TRUE,"PAGE008";#N/A,#N/A,TRUE,"PAGE009";#N/A,#N/A,TRUE,"PAGE010";#N/A,#N/A,TRUE,"PAGE011";#N/A,#N/A,TRUE,"PAGE012";#N/A,#N/A,TRUE,"PAGE013"}</definedName>
    <definedName name="중정실천6" hidden="1">{#N/A,#N/A,TRUE,"목차";#N/A,#N/A,TRUE,"1.";#N/A,#N/A,TRUE,"2.";#N/A,#N/A,TRUE,"3.";#N/A,#N/A,TRUE,"4-1";#N/A,#N/A,TRUE,"-2";#N/A,#N/A,TRUE,"-3";#N/A,#N/A,TRUE,"-4";#N/A,#N/A,TRUE,"5-1";#N/A,#N/A,TRUE,"5-2";#N/A,#N/A,TRUE,"6-1";#N/A,#N/A,TRUE,"6-2";#N/A,#N/A,TRUE,"7-1";#N/A,#N/A,TRUE,"7-2";#N/A,#N/A,TRUE,"8.";#N/A,#N/A,TRUE,"9."}</definedName>
    <definedName name="증가공수" hidden="1">{"'매출계획'!$D$2"}</definedName>
    <definedName name="지수" hidden="1">{TRUE;FALSE}</definedName>
    <definedName name="지연1.21" hidden="1">{#N/A,#N/A,TRUE,"목차";#N/A,#N/A,TRUE,"1.";#N/A,#N/A,TRUE,"2.";#N/A,#N/A,TRUE,"3.";#N/A,#N/A,TRUE,"4-1";#N/A,#N/A,TRUE,"-2";#N/A,#N/A,TRUE,"-3";#N/A,#N/A,TRUE,"-4";#N/A,#N/A,TRUE,"5-1";#N/A,#N/A,TRUE,"5-2";#N/A,#N/A,TRUE,"6-1";#N/A,#N/A,TRUE,"6-2";#N/A,#N/A,TRUE,"7-1";#N/A,#N/A,TRUE,"7-2";#N/A,#N/A,TRUE,"8.";#N/A,#N/A,TRUE,"9."}</definedName>
    <definedName name="지연현황" hidden="1">{#N/A,#N/A,TRUE,"목차";#N/A,#N/A,TRUE,"1.";#N/A,#N/A,TRUE,"2.";#N/A,#N/A,TRUE,"3.";#N/A,#N/A,TRUE,"4-1";#N/A,#N/A,TRUE,"-2";#N/A,#N/A,TRUE,"-3";#N/A,#N/A,TRUE,"-4";#N/A,#N/A,TRUE,"5-1";#N/A,#N/A,TRUE,"5-2";#N/A,#N/A,TRUE,"6-1";#N/A,#N/A,TRUE,"6-2";#N/A,#N/A,TRUE,"7-1";#N/A,#N/A,TRUE,"7-2";#N/A,#N/A,TRUE,"8.";#N/A,#N/A,TRUE,"9."}</definedName>
    <definedName name="지우기" hidden="1">{"select Dock , Ship , Master , ShipType ,_x000D_
datepart( Year , R_WC ) ,_x000D_
datepart( Month , R_WC ) ,_x000D_
datepart( Day , R_WC )  ,_x000D_
_x000D_
datepart( Year , R_KL ) ,_x000D_
datepart( Month , R_KL ) ,_x000D_
datepart( Day , R_K";"L ) ,_x000D_
_x000D_
datepart( Year , R_LC ) ,_x000D_
datepart( Month , R_LC ) ,_x000D_
datepart( Day , R_LC ) ,_x000D_
_x000D_
datepart( Year , R_DEL ) ,_x000D_
datepart( Month , R_DEL ) ,_x000D_
datepart( Day , R_DEL ) ,_x000D_
_x000D_
( select ISNULL( SUM(V";"alue) , 0 ) from I_RealManHourData where subString( Code , 3 , 1 ) != 'X' and Ship = JobData.Ship )  ,_x000D_
_x000D_
( select ISNULL( SUM(Value) , 0 ) from I_RealManHourData where subString( Code , 6 , 2 ) IN ( ";"'W3' , 'W4' , 'W6' ) and Ship = JobData.Ship )  ,_x000D_
_x000D_
( select ISNULL( SUM(Value) , 0 ) from I_RealManHourData where subString( Code , 6 , 2 ) = 'P1' and Ship = JobData.Ship )   ,_x000D_
_x000D_
( select ISNULL( S";"UM(Value) , 0 ) from I_RealManHourData where subString( Code , 2 , 1 ) = 'G' and Ship = JobData.Ship )  ,_x000D_
( select ISNULL( SUM(Value) , 0 ) from I_RealManHourData where subString( Code , 2 , 1 ) = 'C";"' and Ship = JobData.Ship )  _x000D_
from JobData_x000D_
order by Dock , R_LC ,_x000D_
substring( Ship , 1 , 1) ,_x000D_
Breadth Desc"}</definedName>
    <definedName name="지원부문표지" hidden="1">{#N/A,#N/A,TRUE,"목차";#N/A,#N/A,TRUE,"1.";#N/A,#N/A,TRUE,"2.";#N/A,#N/A,TRUE,"3.";#N/A,#N/A,TRUE,"4-1";#N/A,#N/A,TRUE,"-2";#N/A,#N/A,TRUE,"-3";#N/A,#N/A,TRUE,"-4";#N/A,#N/A,TRUE,"5-1";#N/A,#N/A,TRUE,"5-2";#N/A,#N/A,TRUE,"6-1";#N/A,#N/A,TRUE,"6-2";#N/A,#N/A,TRUE,"7-1";#N/A,#N/A,TRUE,"7-2";#N/A,#N/A,TRUE,"8.";#N/A,#N/A,TRUE,"9."}</definedName>
    <definedName name="지원부문표지1" hidden="1">{#N/A,#N/A,TRUE,"목차";#N/A,#N/A,TRUE,"1.";#N/A,#N/A,TRUE,"2.";#N/A,#N/A,TRUE,"3.";#N/A,#N/A,TRUE,"4-1";#N/A,#N/A,TRUE,"-2";#N/A,#N/A,TRUE,"-3";#N/A,#N/A,TRUE,"-4";#N/A,#N/A,TRUE,"5-1";#N/A,#N/A,TRUE,"5-2";#N/A,#N/A,TRUE,"6-1";#N/A,#N/A,TRUE,"6-2";#N/A,#N/A,TRUE,"7-1";#N/A,#N/A,TRUE,"7-2";#N/A,#N/A,TRUE,"8.";#N/A,#N/A,TRUE,"9."}</definedName>
    <definedName name="지원부문표지2" hidden="1">{#N/A,#N/A,TRUE,"목차";#N/A,#N/A,TRUE,"1.";#N/A,#N/A,TRUE,"2.";#N/A,#N/A,TRUE,"3.";#N/A,#N/A,TRUE,"4-1";#N/A,#N/A,TRUE,"-2";#N/A,#N/A,TRUE,"-3";#N/A,#N/A,TRUE,"-4";#N/A,#N/A,TRUE,"5-1";#N/A,#N/A,TRUE,"5-2";#N/A,#N/A,TRUE,"6-1";#N/A,#N/A,TRUE,"6-2";#N/A,#N/A,TRUE,"7-1";#N/A,#N/A,TRUE,"7-2";#N/A,#N/A,TRUE,"8.";#N/A,#N/A,TRUE,"9."}</definedName>
    <definedName name="지정" hidden="1">{#N/A,#N/A,TRUE,"목차";#N/A,#N/A,TRUE,"1.";#N/A,#N/A,TRUE,"2.";#N/A,#N/A,TRUE,"3.";#N/A,#N/A,TRUE,"4-1";#N/A,#N/A,TRUE,"-2";#N/A,#N/A,TRUE,"-3";#N/A,#N/A,TRUE,"-4";#N/A,#N/A,TRUE,"5-1";#N/A,#N/A,TRUE,"5-2";#N/A,#N/A,TRUE,"6-1";#N/A,#N/A,TRUE,"6-2";#N/A,#N/A,TRUE,"7-1";#N/A,#N/A,TRUE,"7-2";#N/A,#N/A,TRUE,"8.";#N/A,#N/A,TRUE,"9."}</definedName>
    <definedName name="지ㅏ두비" hidden="1">{#N/A,#N/A,FALSE,"부서종합";#N/A,#N/A,FALSE,"DISC종합";#N/A,#N/A,FALSE,"생산1과";#N/A,#N/A,FALSE,"생산2과";#N/A,#N/A,FALSE,"전기계장";#N/A,#N/A,FALSE,"기계";#N/A,#N/A,FALSE,"철의장";#N/A,#N/A,FALSE,"거주구";#N/A,#N/A,FALSE,"HVAC"}</definedName>
    <definedName name="지ㅣ지" hidden="1">{"'매출계획'!$D$2"}</definedName>
    <definedName name="직간접계" hidden="1">{"'매출계획'!$D$2"}</definedName>
    <definedName name="진수실적품평" hidden="1">{#N/A,#N/A,TRUE,"목차";#N/A,#N/A,TRUE,"1.";#N/A,#N/A,TRUE,"2.";#N/A,#N/A,TRUE,"3.";#N/A,#N/A,TRUE,"4-1";#N/A,#N/A,TRUE,"-2";#N/A,#N/A,TRUE,"-3";#N/A,#N/A,TRUE,"-4";#N/A,#N/A,TRUE,"5-1";#N/A,#N/A,TRUE,"5-2";#N/A,#N/A,TRUE,"6-1";#N/A,#N/A,TRUE,"6-2";#N/A,#N/A,TRUE,"7-1";#N/A,#N/A,TRUE,"7-2";#N/A,#N/A,TRUE,"8.";#N/A,#N/A,TRUE,"9."}</definedName>
    <definedName name="질서" hidden="1">{#N/A,#N/A,TRUE,"LOADCOVE";#N/A,#N/A,TRUE,"PAGE001";#N/A,#N/A,TRUE,"PAGE002";#N/A,#N/A,TRUE,"PAGE003";#N/A,#N/A,TRUE,"PAGE004";#N/A,#N/A,TRUE,"PAGE005";#N/A,#N/A,TRUE,"PAGE006";#N/A,#N/A,TRUE,"PAGE007";#N/A,#N/A,TRUE,"PAGE008";#N/A,#N/A,TRUE,"PAGE009";#N/A,#N/A,TRUE,"PAGE010";#N/A,#N/A,TRUE,"PAGE011";#N/A,#N/A,TRUE,"PAGE012";#N/A,#N/A,TRUE,"PAGE013"}</definedName>
    <definedName name="집계1" hidden="1">{#N/A,#N/A,FALSE,"손익계획";#N/A,#N/A,FALSE,"수익계획";#N/A,#N/A,FALSE,"실적분석"}</definedName>
    <definedName name="집행내역2" hidden="1">{#N/A,#N/A,TRUE,"목차";#N/A,#N/A,TRUE,"1.";#N/A,#N/A,TRUE,"2.";#N/A,#N/A,TRUE,"3.";#N/A,#N/A,TRUE,"4-1";#N/A,#N/A,TRUE,"-2";#N/A,#N/A,TRUE,"-3";#N/A,#N/A,TRUE,"-4";#N/A,#N/A,TRUE,"5-1";#N/A,#N/A,TRUE,"5-2";#N/A,#N/A,TRUE,"6-1";#N/A,#N/A,TRUE,"6-2";#N/A,#N/A,TRUE,"7-1";#N/A,#N/A,TRUE,"7-2";#N/A,#N/A,TRUE,"8.";#N/A,#N/A,TRUE,"9."}</definedName>
    <definedName name="ㅊㅊ" hidden="1">{#N/A,#N/A,TRUE,"LOADCOVE";#N/A,#N/A,TRUE,"PAGE001";#N/A,#N/A,TRUE,"PAGE002";#N/A,#N/A,TRUE,"PAGE003";#N/A,#N/A,TRUE,"PAGE004";#N/A,#N/A,TRUE,"PAGE005";#N/A,#N/A,TRUE,"PAGE006";#N/A,#N/A,TRUE,"PAGE007";#N/A,#N/A,TRUE,"PAGE008";#N/A,#N/A,TRUE,"PAGE009";#N/A,#N/A,TRUE,"PAGE010";#N/A,#N/A,TRUE,"PAGE011";#N/A,#N/A,TRUE,"PAGE012";#N/A,#N/A,TRUE,"PAGE013"}</definedName>
    <definedName name="ㅊㅊㅊ" hidden="1">{#N/A,#N/A,TRUE,"목차";#N/A,#N/A,TRUE,"1.";#N/A,#N/A,TRUE,"2.";#N/A,#N/A,TRUE,"3.";#N/A,#N/A,TRUE,"4-1";#N/A,#N/A,TRUE,"-2";#N/A,#N/A,TRUE,"-3";#N/A,#N/A,TRUE,"-4";#N/A,#N/A,TRUE,"5-1";#N/A,#N/A,TRUE,"5-2";#N/A,#N/A,TRUE,"6-1";#N/A,#N/A,TRUE,"6-2";#N/A,#N/A,TRUE,"7-1";#N/A,#N/A,TRUE,"7-2";#N/A,#N/A,TRUE,"8.";#N/A,#N/A,TRUE,"9."}</definedName>
    <definedName name="ㅊㅊㅊㅊㅊㅊㅊ" hidden="1">{"'매출계획'!$D$2"}</definedName>
    <definedName name="ㅊ퓨" hidden="1">{"'매출계획'!$D$2"}</definedName>
    <definedName name="ㅊ호" hidden="1">{"'매출계획'!$D$2"}</definedName>
    <definedName name="차기" hidden="1">{#N/A,#N/A,TRUE,"목차";#N/A,#N/A,TRUE,"1.";#N/A,#N/A,TRUE,"2.";#N/A,#N/A,TRUE,"3.";#N/A,#N/A,TRUE,"4-1";#N/A,#N/A,TRUE,"-2";#N/A,#N/A,TRUE,"-3";#N/A,#N/A,TRUE,"-4";#N/A,#N/A,TRUE,"5-1";#N/A,#N/A,TRUE,"5-2";#N/A,#N/A,TRUE,"6-1";#N/A,#N/A,TRUE,"6-2";#N/A,#N/A,TRUE,"7-1";#N/A,#N/A,TRUE,"7-2";#N/A,#N/A,TRUE,"8.";#N/A,#N/A,TRUE,"9."}</definedName>
    <definedName name="참조3" hidden="1">{"'매출계획'!$D$2"}</definedName>
    <definedName name="창림111" hidden="1">{#N/A,#N/A,TRUE,"LOADCOVE";#N/A,#N/A,TRUE,"PAGE001";#N/A,#N/A,TRUE,"PAGE002";#N/A,#N/A,TRUE,"PAGE003";#N/A,#N/A,TRUE,"PAGE004";#N/A,#N/A,TRUE,"PAGE005";#N/A,#N/A,TRUE,"PAGE006";#N/A,#N/A,TRUE,"PAGE007";#N/A,#N/A,TRUE,"PAGE008";#N/A,#N/A,TRUE,"PAGE009";#N/A,#N/A,TRUE,"PAGE010";#N/A,#N/A,TRUE,"PAGE011";#N/A,#N/A,TRUE,"PAGE012";#N/A,#N/A,TRUE,"PAGE013"}</definedName>
    <definedName name="철2" hidden="1">{#N/A,#N/A,TRUE,"목차";#N/A,#N/A,TRUE,"1.";#N/A,#N/A,TRUE,"2.";#N/A,#N/A,TRUE,"3.";#N/A,#N/A,TRUE,"4-1";#N/A,#N/A,TRUE,"-2";#N/A,#N/A,TRUE,"-3";#N/A,#N/A,TRUE,"-4";#N/A,#N/A,TRUE,"5-1";#N/A,#N/A,TRUE,"5-2";#N/A,#N/A,TRUE,"6-1";#N/A,#N/A,TRUE,"6-2";#N/A,#N/A,TRUE,"7-1";#N/A,#N/A,TRUE,"7-2";#N/A,#N/A,TRUE,"8.";#N/A,#N/A,TRUE,"9."}</definedName>
    <definedName name="철구생산부" hidden="1">{"'매출계획'!$D$2"}</definedName>
    <definedName name="철구생산부실적" hidden="1">{"'매출계획'!$D$2"}</definedName>
    <definedName name="철도장" hidden="1">{#N/A,#N/A,TRUE,"목차";#N/A,#N/A,TRUE,"1.";#N/A,#N/A,TRUE,"2.";#N/A,#N/A,TRUE,"3.";#N/A,#N/A,TRUE,"4-1";#N/A,#N/A,TRUE,"-2";#N/A,#N/A,TRUE,"-3";#N/A,#N/A,TRUE,"-4";#N/A,#N/A,TRUE,"5-1";#N/A,#N/A,TRUE,"5-2";#N/A,#N/A,TRUE,"6-1";#N/A,#N/A,TRUE,"6-2";#N/A,#N/A,TRUE,"7-1";#N/A,#N/A,TRUE,"7-2";#N/A,#N/A,TRUE,"8.";#N/A,#N/A,TRUE,"9."}</definedName>
    <definedName name="철의" hidden="1">{#N/A,#N/A,FALSE,"DISCI종합";#N/A,#N/A,FALSE,"배관";#N/A,#N/A,FALSE,"전기계장";#N/A,#N/A,FALSE,"기계";#N/A,#N/A,FALSE,"철의장";#N/A,#N/A,FALSE,"거주구";#N/A,#N/A,FALSE,"HVAC"}</definedName>
    <definedName name="철의도장" hidden="1">{#N/A,#N/A,TRUE,"목차";#N/A,#N/A,TRUE,"1.";#N/A,#N/A,TRUE,"2.";#N/A,#N/A,TRUE,"3.";#N/A,#N/A,TRUE,"4-1";#N/A,#N/A,TRUE,"-2";#N/A,#N/A,TRUE,"-3";#N/A,#N/A,TRUE,"-4";#N/A,#N/A,TRUE,"5-1";#N/A,#N/A,TRUE,"5-2";#N/A,#N/A,TRUE,"6-1";#N/A,#N/A,TRUE,"6-2";#N/A,#N/A,TRUE,"7-1";#N/A,#N/A,TRUE,"7-2";#N/A,#N/A,TRUE,"8.";#N/A,#N/A,TRUE,"9."}</definedName>
    <definedName name="철의수정" hidden="1">{#N/A,#N/A,FALSE,"DISCI종합";#N/A,#N/A,FALSE,"배관";#N/A,#N/A,FALSE,"전기계장";#N/A,#N/A,FALSE,"기계";#N/A,#N/A,FALSE,"철의장";#N/A,#N/A,FALSE,"거주구";#N/A,#N/A,FALSE,"HVAC"}</definedName>
    <definedName name="첨" hidden="1">{#N/A,#N/A,TRUE,"LOADCOVE";#N/A,#N/A,TRUE,"PAGE001";#N/A,#N/A,TRUE,"PAGE002";#N/A,#N/A,TRUE,"PAGE003";#N/A,#N/A,TRUE,"PAGE004";#N/A,#N/A,TRUE,"PAGE005";#N/A,#N/A,TRUE,"PAGE006";#N/A,#N/A,TRUE,"PAGE007";#N/A,#N/A,TRUE,"PAGE008";#N/A,#N/A,TRUE,"PAGE009";#N/A,#N/A,TRUE,"PAGE010";#N/A,#N/A,TRUE,"PAGE011";#N/A,#N/A,TRUE,"PAGE012";#N/A,#N/A,TRUE,"PAGE013"}</definedName>
    <definedName name="첨부3" hidden="1">{#N/A,#N/A,TRUE,"목차";#N/A,#N/A,TRUE,"1.";#N/A,#N/A,TRUE,"2.";#N/A,#N/A,TRUE,"3.";#N/A,#N/A,TRUE,"4-1";#N/A,#N/A,TRUE,"-2";#N/A,#N/A,TRUE,"-3";#N/A,#N/A,TRUE,"-4";#N/A,#N/A,TRUE,"5-1";#N/A,#N/A,TRUE,"5-2";#N/A,#N/A,TRUE,"6-1";#N/A,#N/A,TRUE,"6-2";#N/A,#N/A,TRUE,"7-1";#N/A,#N/A,TRUE,"7-2";#N/A,#N/A,TRUE,"8.";#N/A,#N/A,TRUE,"9."}</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총물량" hidden="1">{#N/A,#N/A,TRUE,"LOADCOVE";#N/A,#N/A,TRUE,"PAGE001";#N/A,#N/A,TRUE,"PAGE002";#N/A,#N/A,TRUE,"PAGE003";#N/A,#N/A,TRUE,"PAGE004";#N/A,#N/A,TRUE,"PAGE005";#N/A,#N/A,TRUE,"PAGE006";#N/A,#N/A,TRUE,"PAGE007";#N/A,#N/A,TRUE,"PAGE008";#N/A,#N/A,TRUE,"PAGE009";#N/A,#N/A,TRUE,"PAGE010";#N/A,#N/A,TRUE,"PAGE011";#N/A,#N/A,TRUE,"PAGE012";#N/A,#N/A,TRUE,"PAGE013"}</definedName>
    <definedName name="최종" hidden="1">{#N/A,#N/A,TRUE,"목차";#N/A,#N/A,TRUE,"1.";#N/A,#N/A,TRUE,"2.";#N/A,#N/A,TRUE,"3.";#N/A,#N/A,TRUE,"4-1";#N/A,#N/A,TRUE,"-2";#N/A,#N/A,TRUE,"-3";#N/A,#N/A,TRUE,"-4";#N/A,#N/A,TRUE,"5-1";#N/A,#N/A,TRUE,"5-2";#N/A,#N/A,TRUE,"6-1";#N/A,#N/A,TRUE,"6-2";#N/A,#N/A,TRUE,"7-1";#N/A,#N/A,TRUE,"7-2";#N/A,#N/A,TRUE,"8.";#N/A,#N/A,TRUE,"9."}</definedName>
    <definedName name="추가공수" hidden="1">{"'매출계획'!$D$2"}</definedName>
    <definedName name="추가분" hidden="1">{"'장비'!$A$3:$M$12"}</definedName>
    <definedName name="치구모화" hidden="1">{"'매출계획'!$D$2"}</definedName>
    <definedName name="침하량" hidden="1">{#N/A,#N/A,TRUE,"목차";#N/A,#N/A,TRUE,"1.";#N/A,#N/A,TRUE,"2.";#N/A,#N/A,TRUE,"3.";#N/A,#N/A,TRUE,"4-1";#N/A,#N/A,TRUE,"-2";#N/A,#N/A,TRUE,"-3";#N/A,#N/A,TRUE,"-4";#N/A,#N/A,TRUE,"5-1";#N/A,#N/A,TRUE,"5-2";#N/A,#N/A,TRUE,"6-1";#N/A,#N/A,TRUE,"6-2";#N/A,#N/A,TRUE,"7-1";#N/A,#N/A,TRUE,"7-2";#N/A,#N/A,TRUE,"8.";#N/A,#N/A,TRUE,"9."}</definedName>
    <definedName name="ㅋㄷ" hidden="1">{"'매출계획'!$D$2"}</definedName>
    <definedName name="ㅋㅋ" hidden="1">{#N/A,#N/A,TRUE,"LOADCOVE";#N/A,#N/A,TRUE,"PAGE001";#N/A,#N/A,TRUE,"PAGE002";#N/A,#N/A,TRUE,"PAGE003";#N/A,#N/A,TRUE,"PAGE004";#N/A,#N/A,TRUE,"PAGE005";#N/A,#N/A,TRUE,"PAGE006";#N/A,#N/A,TRUE,"PAGE007";#N/A,#N/A,TRUE,"PAGE008";#N/A,#N/A,TRUE,"PAGE009";#N/A,#N/A,TRUE,"PAGE010";#N/A,#N/A,TRUE,"PAGE011";#N/A,#N/A,TRUE,"PAGE012";#N/A,#N/A,TRUE,"PAGE013"}</definedName>
    <definedName name="ㅋㅋㅋ" hidden="1">{#N/A,#N/A,TRUE,"목차";#N/A,#N/A,TRUE,"1.";#N/A,#N/A,TRUE,"2.";#N/A,#N/A,TRUE,"3.";#N/A,#N/A,TRUE,"4-1";#N/A,#N/A,TRUE,"-2";#N/A,#N/A,TRUE,"-3";#N/A,#N/A,TRUE,"-4";#N/A,#N/A,TRUE,"5-1";#N/A,#N/A,TRUE,"5-2";#N/A,#N/A,TRUE,"6-1";#N/A,#N/A,TRUE,"6-2";#N/A,#N/A,TRUE,"7-1";#N/A,#N/A,TRUE,"7-2";#N/A,#N/A,TRUE,"8.";#N/A,#N/A,TRUE,"9."}</definedName>
    <definedName name="ㅋㅋㅋㅋㅋㅋㅋㅋㅋㅋㅋㅋㅋㅋㅋㅋㅋㅋㅋㅋㅋㅋㅋㅋㅋㅋㅋㅋㅋ" hidden="1">{"'매출계획'!$D$2"}</definedName>
    <definedName name="컥" hidden="1">{#N/A,#N/A,TRUE,"목차";#N/A,#N/A,TRUE,"1.";#N/A,#N/A,TRUE,"2.";#N/A,#N/A,TRUE,"3.";#N/A,#N/A,TRUE,"4-1";#N/A,#N/A,TRUE,"-2";#N/A,#N/A,TRUE,"-3";#N/A,#N/A,TRUE,"-4";#N/A,#N/A,TRUE,"5-1";#N/A,#N/A,TRUE,"5-2";#N/A,#N/A,TRUE,"6-1";#N/A,#N/A,TRUE,"6-2";#N/A,#N/A,TRUE,"7-1";#N/A,#N/A,TRUE,"7-2";#N/A,#N/A,TRUE,"8.";#N/A,#N/A,TRUE,"9."}</definedName>
    <definedName name="크b" hidden="1">{#N/A,#N/A,TRUE,"목차";#N/A,#N/A,TRUE,"1.";#N/A,#N/A,TRUE,"2.";#N/A,#N/A,TRUE,"3.";#N/A,#N/A,TRUE,"4-1";#N/A,#N/A,TRUE,"-2";#N/A,#N/A,TRUE,"-3";#N/A,#N/A,TRUE,"-4";#N/A,#N/A,TRUE,"5-1";#N/A,#N/A,TRUE,"5-2";#N/A,#N/A,TRUE,"6-1";#N/A,#N/A,TRUE,"6-2";#N/A,#N/A,TRUE,"7-1";#N/A,#N/A,TRUE,"7-2";#N/A,#N/A,TRUE,"8.";#N/A,#N/A,TRUE,"9."}</definedName>
    <definedName name="ㅌㅌ" hidden="1">{#N/A,#N/A,TRUE,"목차";#N/A,#N/A,TRUE,"1.";#N/A,#N/A,TRUE,"2.";#N/A,#N/A,TRUE,"3.";#N/A,#N/A,TRUE,"4-1";#N/A,#N/A,TRUE,"-2";#N/A,#N/A,TRUE,"-3";#N/A,#N/A,TRUE,"-4";#N/A,#N/A,TRUE,"5-1";#N/A,#N/A,TRUE,"5-2";#N/A,#N/A,TRUE,"6-1";#N/A,#N/A,TRUE,"6-2";#N/A,#N/A,TRUE,"7-1";#N/A,#N/A,TRUE,"7-2";#N/A,#N/A,TRUE,"8.";#N/A,#N/A,TRUE,"9."}</definedName>
    <definedName name="ㅌㅌㅌ" hidden="1">{#N/A,#N/A,TRUE,"목차";#N/A,#N/A,TRUE,"1.";#N/A,#N/A,TRUE,"2.";#N/A,#N/A,TRUE,"3.";#N/A,#N/A,TRUE,"4-1";#N/A,#N/A,TRUE,"-2";#N/A,#N/A,TRUE,"-3";#N/A,#N/A,TRUE,"-4";#N/A,#N/A,TRUE,"5-1";#N/A,#N/A,TRUE,"5-2";#N/A,#N/A,TRUE,"6-1";#N/A,#N/A,TRUE,"6-2";#N/A,#N/A,TRUE,"7-1";#N/A,#N/A,TRUE,"7-2";#N/A,#N/A,TRUE,"8.";#N/A,#N/A,TRUE,"9."}</definedName>
    <definedName name="ㅌㅌㅌㅌㅌㅌㅌㅌㅌㅌㅌㅌㅌㅌㅌㅌㅌㅌㅌ" hidden="1">{"'매출계획'!$D$2"}</definedName>
    <definedName name="탑재" hidden="1">{"'매출계획'!$D$2"}</definedName>
    <definedName name="탑재BLOCK공정현황" hidden="1">{#N/A,#N/A,TRUE,"목차";#N/A,#N/A,TRUE,"1.";#N/A,#N/A,TRUE,"2.";#N/A,#N/A,TRUE,"3.";#N/A,#N/A,TRUE,"4-1";#N/A,#N/A,TRUE,"-2";#N/A,#N/A,TRUE,"-3";#N/A,#N/A,TRUE,"-4";#N/A,#N/A,TRUE,"5-1";#N/A,#N/A,TRUE,"5-2";#N/A,#N/A,TRUE,"6-1";#N/A,#N/A,TRUE,"6-2";#N/A,#N/A,TRUE,"7-1";#N/A,#N/A,TRUE,"7-2";#N/A,#N/A,TRUE,"8.";#N/A,#N/A,TRUE,"9."}</definedName>
    <definedName name="탑재예측" hidden="1">{#N/A,#N/A,TRUE,"목차";#N/A,#N/A,TRUE,"1.";#N/A,#N/A,TRUE,"2.";#N/A,#N/A,TRUE,"3.";#N/A,#N/A,TRUE,"4-1";#N/A,#N/A,TRUE,"-2";#N/A,#N/A,TRUE,"-3";#N/A,#N/A,TRUE,"-4";#N/A,#N/A,TRUE,"5-1";#N/A,#N/A,TRUE,"5-2";#N/A,#N/A,TRUE,"6-1";#N/A,#N/A,TRUE,"6-2";#N/A,#N/A,TRUE,"7-1";#N/A,#N/A,TRUE,"7-2";#N/A,#N/A,TRUE,"8.";#N/A,#N/A,TRUE,"9."}</definedName>
    <definedName name="탑재지연" hidden="1">{#N/A,#N/A,TRUE,"목차";#N/A,#N/A,TRUE,"1.";#N/A,#N/A,TRUE,"2.";#N/A,#N/A,TRUE,"3.";#N/A,#N/A,TRUE,"4-1";#N/A,#N/A,TRUE,"-2";#N/A,#N/A,TRUE,"-3";#N/A,#N/A,TRUE,"-4";#N/A,#N/A,TRUE,"5-1";#N/A,#N/A,TRUE,"5-2";#N/A,#N/A,TRUE,"6-1";#N/A,#N/A,TRUE,"6-2";#N/A,#N/A,TRUE,"7-1";#N/A,#N/A,TRUE,"7-2";#N/A,#N/A,TRUE,"8.";#N/A,#N/A,TRUE,"9."}</definedName>
    <definedName name="토목변경" hidden="1">{"'장비'!$A$3:$M$12"}</definedName>
    <definedName name="토목실행예산" hidden="1">{"'장비'!$A$3:$M$12"}</definedName>
    <definedName name="토목정리" hidden="1">{"'장비'!$A$3:$M$12"}</definedName>
    <definedName name="토목조정분" hidden="1">{"'장비'!$A$3:$M$12"}</definedName>
    <definedName name="통합" hidden="1">{#N/A,#N/A,TRUE,"LOADCOVE";#N/A,#N/A,TRUE,"PAGE001";#N/A,#N/A,TRUE,"PAGE002";#N/A,#N/A,TRUE,"PAGE003";#N/A,#N/A,TRUE,"PAGE004";#N/A,#N/A,TRUE,"PAGE005";#N/A,#N/A,TRUE,"PAGE006";#N/A,#N/A,TRUE,"PAGE007";#N/A,#N/A,TRUE,"PAGE008";#N/A,#N/A,TRUE,"PAGE009";#N/A,#N/A,TRUE,"PAGE010";#N/A,#N/A,TRUE,"PAGE011";#N/A,#N/A,TRUE,"PAGE012";#N/A,#N/A,TRUE,"PAGE013"}</definedName>
    <definedName name="통합1" hidden="1">{#N/A,#N/A,TRUE,"LOADCOVE";#N/A,#N/A,TRUE,"PAGE001";#N/A,#N/A,TRUE,"PAGE002";#N/A,#N/A,TRUE,"PAGE003";#N/A,#N/A,TRUE,"PAGE004";#N/A,#N/A,TRUE,"PAGE005";#N/A,#N/A,TRUE,"PAGE006";#N/A,#N/A,TRUE,"PAGE007";#N/A,#N/A,TRUE,"PAGE008";#N/A,#N/A,TRUE,"PAGE009";#N/A,#N/A,TRUE,"PAGE010";#N/A,#N/A,TRUE,"PAGE011";#N/A,#N/A,TRUE,"PAGE012";#N/A,#N/A,TRUE,"PAGE013"}</definedName>
    <definedName name="투자"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자수정A" hidden="1">{#N/A,#N/A,TRUE,"LOADCOVE";#N/A,#N/A,TRUE,"PAGE001";#N/A,#N/A,TRUE,"PAGE002";#N/A,#N/A,TRUE,"PAGE003";#N/A,#N/A,TRUE,"PAGE004";#N/A,#N/A,TRUE,"PAGE005";#N/A,#N/A,TRUE,"PAGE006";#N/A,#N/A,TRUE,"PAGE007";#N/A,#N/A,TRUE,"PAGE008";#N/A,#N/A,TRUE,"PAGE009";#N/A,#N/A,TRUE,"PAGE010";#N/A,#N/A,TRUE,"PAGE011";#N/A,#N/A,TRUE,"PAGE012";#N/A,#N/A,TRUE,"PAGE013"}</definedName>
    <definedName name="튼튼" hidden="1">{#N/A,#N/A,TRUE,"LOADCOVE";#N/A,#N/A,TRUE,"PAGE001";#N/A,#N/A,TRUE,"PAGE002";#N/A,#N/A,TRUE,"PAGE003";#N/A,#N/A,TRUE,"PAGE004";#N/A,#N/A,TRUE,"PAGE005";#N/A,#N/A,TRUE,"PAGE006";#N/A,#N/A,TRUE,"PAGE007";#N/A,#N/A,TRUE,"PAGE008";#N/A,#N/A,TRUE,"PAGE009";#N/A,#N/A,TRUE,"PAGE010";#N/A,#N/A,TRUE,"PAGE011";#N/A,#N/A,TRUE,"PAGE012";#N/A,#N/A,TRUE,"PAGE013"}</definedName>
    <definedName name="ㅍ" hidden="1">{#N/A,#N/A,TRUE,"LOADCOVE";#N/A,#N/A,TRUE,"PAGE001";#N/A,#N/A,TRUE,"PAGE002";#N/A,#N/A,TRUE,"PAGE003";#N/A,#N/A,TRUE,"PAGE004";#N/A,#N/A,TRUE,"PAGE005";#N/A,#N/A,TRUE,"PAGE006";#N/A,#N/A,TRUE,"PAGE007";#N/A,#N/A,TRUE,"PAGE008";#N/A,#N/A,TRUE,"PAGE009";#N/A,#N/A,TRUE,"PAGE010";#N/A,#N/A,TRUE,"PAGE011";#N/A,#N/A,TRUE,"PAGE012";#N/A,#N/A,TRUE,"PAGE013"}</definedName>
    <definedName name="ㅍㅊㅍㅊㅍㅊㅍㅊㅍ" hidden="1">{"'매출계획'!$D$2"}</definedName>
    <definedName name="ㅍㅍ" hidden="1">{#N/A,#N/A,TRUE,"목차";#N/A,#N/A,TRUE,"1.";#N/A,#N/A,TRUE,"2.";#N/A,#N/A,TRUE,"3.";#N/A,#N/A,TRUE,"4-1";#N/A,#N/A,TRUE,"-2";#N/A,#N/A,TRUE,"-3";#N/A,#N/A,TRUE,"-4";#N/A,#N/A,TRUE,"5-1";#N/A,#N/A,TRUE,"5-2";#N/A,#N/A,TRUE,"6-1";#N/A,#N/A,TRUE,"6-2";#N/A,#N/A,TRUE,"7-1";#N/A,#N/A,TRUE,"7-2";#N/A,#N/A,TRUE,"8.";#N/A,#N/A,TRUE,"9."}</definedName>
    <definedName name="판넬조립부" hidden="1">{"'호선별현황(방식)'!$K$22:$P$22","'호선별현황(방식)'!$K$22:$P$22"}</definedName>
    <definedName name="판넬지" hidden="1">{#N/A,#N/A,TRUE,"목차";#N/A,#N/A,TRUE,"1.";#N/A,#N/A,TRUE,"2.";#N/A,#N/A,TRUE,"3.";#N/A,#N/A,TRUE,"4-1";#N/A,#N/A,TRUE,"-2";#N/A,#N/A,TRUE,"-3";#N/A,#N/A,TRUE,"-4";#N/A,#N/A,TRUE,"5-1";#N/A,#N/A,TRUE,"5-2";#N/A,#N/A,TRUE,"6-1";#N/A,#N/A,TRUE,"6-2";#N/A,#N/A,TRUE,"7-1";#N/A,#N/A,TRUE,"7-2";#N/A,#N/A,TRUE,"8.";#N/A,#N/A,TRUE,"9."}</definedName>
    <definedName name="판넬지5" hidden="1">{#N/A,#N/A,TRUE,"목차";#N/A,#N/A,TRUE,"1.";#N/A,#N/A,TRUE,"2.";#N/A,#N/A,TRUE,"3.";#N/A,#N/A,TRUE,"4-1";#N/A,#N/A,TRUE,"-2";#N/A,#N/A,TRUE,"-3";#N/A,#N/A,TRUE,"-4";#N/A,#N/A,TRUE,"5-1";#N/A,#N/A,TRUE,"5-2";#N/A,#N/A,TRUE,"6-1";#N/A,#N/A,TRUE,"6-2";#N/A,#N/A,TRUE,"7-1";#N/A,#N/A,TRUE,"7-2";#N/A,#N/A,TRUE,"8.";#N/A,#N/A,TRUE,"9."}</definedName>
    <definedName name="판지" hidden="1">{#N/A,#N/A,TRUE,"목차";#N/A,#N/A,TRUE,"1.";#N/A,#N/A,TRUE,"2.";#N/A,#N/A,TRUE,"3.";#N/A,#N/A,TRUE,"4-1";#N/A,#N/A,TRUE,"-2";#N/A,#N/A,TRUE,"-3";#N/A,#N/A,TRUE,"-4";#N/A,#N/A,TRUE,"5-1";#N/A,#N/A,TRUE,"5-2";#N/A,#N/A,TRUE,"6-1";#N/A,#N/A,TRUE,"6-2";#N/A,#N/A,TRUE,"7-1";#N/A,#N/A,TRUE,"7-2";#N/A,#N/A,TRUE,"8.";#N/A,#N/A,TRUE,"9."}</definedName>
    <definedName name="평당단가" hidden="1">#REF!</definedName>
    <definedName name="표제" hidden="1">{#N/A,#N/A,TRUE,"목차";#N/A,#N/A,TRUE,"1.";#N/A,#N/A,TRUE,"2.";#N/A,#N/A,TRUE,"3.";#N/A,#N/A,TRUE,"4-1";#N/A,#N/A,TRUE,"-2";#N/A,#N/A,TRUE,"-3";#N/A,#N/A,TRUE,"-4";#N/A,#N/A,TRUE,"5-1";#N/A,#N/A,TRUE,"5-2";#N/A,#N/A,TRUE,"6-1";#N/A,#N/A,TRUE,"6-2";#N/A,#N/A,TRUE,"7-1";#N/A,#N/A,TRUE,"7-2";#N/A,#N/A,TRUE,"8.";#N/A,#N/A,TRUE,"9."}</definedName>
    <definedName name="표져" hidden="1">{#N/A,#N/A,TRUE,"목차";#N/A,#N/A,TRUE,"1.";#N/A,#N/A,TRUE,"2.";#N/A,#N/A,TRUE,"3.";#N/A,#N/A,TRUE,"4-1";#N/A,#N/A,TRUE,"-2";#N/A,#N/A,TRUE,"-3";#N/A,#N/A,TRUE,"-4";#N/A,#N/A,TRUE,"5-1";#N/A,#N/A,TRUE,"5-2";#N/A,#N/A,TRUE,"6-1";#N/A,#N/A,TRUE,"6-2";#N/A,#N/A,TRUE,"7-1";#N/A,#N/A,TRUE,"7-2";#N/A,#N/A,TRUE,"8.";#N/A,#N/A,TRUE,"9."}</definedName>
    <definedName name="표징" hidden="1">{#N/A,#N/A,TRUE,"목차";#N/A,#N/A,TRUE,"1.";#N/A,#N/A,TRUE,"2.";#N/A,#N/A,TRUE,"3.";#N/A,#N/A,TRUE,"4-1";#N/A,#N/A,TRUE,"-2";#N/A,#N/A,TRUE,"-3";#N/A,#N/A,TRUE,"-4";#N/A,#N/A,TRUE,"5-1";#N/A,#N/A,TRUE,"5-2";#N/A,#N/A,TRUE,"6-1";#N/A,#N/A,TRUE,"6-2";#N/A,#N/A,TRUE,"7-1";#N/A,#N/A,TRUE,"7-2";#N/A,#N/A,TRUE,"8.";#N/A,#N/A,TRUE,"9."}</definedName>
    <definedName name="품의서1" hidden="1">{#N/A,#N/A,TRUE,"보수내용"}</definedName>
    <definedName name="ㅎㅇㅀㄴㅇㅎ" hidden="1">{"'매출계획'!$D$2"}</definedName>
    <definedName name="ㅎㅎㅎ" hidden="1">#REF!</definedName>
    <definedName name="ㅎㅎㅎㅎㅎㅎㅎㅎㅎㅎㅎㅎㅎㅎㅎㅎㅎㅎㅎㅎㅎㅎㅎㅎㅎㅎㅎㅎㅎㅎㅎㅎ" hidden="1">{"'매출계획'!$D$2"}</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하" hidden="1">{#N/A,#N/A,TRUE,"목차";#N/A,#N/A,TRUE,"1.";#N/A,#N/A,TRUE,"2.";#N/A,#N/A,TRUE,"3.";#N/A,#N/A,TRUE,"4-1";#N/A,#N/A,TRUE,"-2";#N/A,#N/A,TRUE,"-3";#N/A,#N/A,TRUE,"-4";#N/A,#N/A,TRUE,"5-1";#N/A,#N/A,TRUE,"5-2";#N/A,#N/A,TRUE,"6-1";#N/A,#N/A,TRUE,"6-2";#N/A,#N/A,TRUE,"7-1";#N/A,#N/A,TRUE,"7-2";#N/A,#N/A,TRUE,"8.";#N/A,#N/A,TRUE,"9."}</definedName>
    <definedName name="하하하" hidden="1">{#N/A,#N/A,TRUE,"목차";#N/A,#N/A,TRUE,"1.";#N/A,#N/A,TRUE,"2.";#N/A,#N/A,TRUE,"3.";#N/A,#N/A,TRUE,"4-1";#N/A,#N/A,TRUE,"-2";#N/A,#N/A,TRUE,"-3";#N/A,#N/A,TRUE,"-4";#N/A,#N/A,TRUE,"5-1";#N/A,#N/A,TRUE,"5-2";#N/A,#N/A,TRUE,"6-1";#N/A,#N/A,TRUE,"6-2";#N/A,#N/A,TRUE,"7-1";#N/A,#N/A,TRUE,"7-2";#N/A,#N/A,TRUE,"8.";#N/A,#N/A,TRUE,"9."}</definedName>
    <definedName name="합류LOT" hidden="1">{#N/A,#N/A,TRUE,"목차";#N/A,#N/A,TRUE,"1.";#N/A,#N/A,TRUE,"2.";#N/A,#N/A,TRUE,"3.";#N/A,#N/A,TRUE,"4-1";#N/A,#N/A,TRUE,"-2";#N/A,#N/A,TRUE,"-3";#N/A,#N/A,TRUE,"-4";#N/A,#N/A,TRUE,"5-1";#N/A,#N/A,TRUE,"5-2";#N/A,#N/A,TRUE,"6-1";#N/A,#N/A,TRUE,"6-2";#N/A,#N/A,TRUE,"7-1";#N/A,#N/A,TRUE,"7-2";#N/A,#N/A,TRUE,"8.";#N/A,#N/A,TRUE,"9."}</definedName>
    <definedName name="항목별" hidden="1">{#N/A,#N/A,FALSE,"DISCI종합";#N/A,#N/A,FALSE,"배관";#N/A,#N/A,FALSE,"전기계장";#N/A,#N/A,FALSE,"기계";#N/A,#N/A,FALSE,"철의장";#N/A,#N/A,FALSE,"거주구";#N/A,#N/A,FALSE,"HVAC"}</definedName>
    <definedName name="해" hidden="1">{#N/A,#N/A,TRUE,"목차";#N/A,#N/A,TRUE,"1.";#N/A,#N/A,TRUE,"2.";#N/A,#N/A,TRUE,"3.";#N/A,#N/A,TRUE,"4-1";#N/A,#N/A,TRUE,"-2";#N/A,#N/A,TRUE,"-3";#N/A,#N/A,TRUE,"-4";#N/A,#N/A,TRUE,"5-1";#N/A,#N/A,TRUE,"5-2";#N/A,#N/A,TRUE,"6-1";#N/A,#N/A,TRUE,"6-2";#N/A,#N/A,TRUE,"7-1";#N/A,#N/A,TRUE,"7-2";#N/A,#N/A,TRUE,"8.";#N/A,#N/A,TRUE,"9."}</definedName>
    <definedName name="해야중점" hidden="1">{#N/A,#N/A,TRUE,"LOADCOVE";#N/A,#N/A,TRUE,"PAGE001";#N/A,#N/A,TRUE,"PAGE002";#N/A,#N/A,TRUE,"PAGE003";#N/A,#N/A,TRUE,"PAGE004";#N/A,#N/A,TRUE,"PAGE005";#N/A,#N/A,TRUE,"PAGE006";#N/A,#N/A,TRUE,"PAGE007";#N/A,#N/A,TRUE,"PAGE008";#N/A,#N/A,TRUE,"PAGE009";#N/A,#N/A,TRUE,"PAGE010";#N/A,#N/A,TRUE,"PAGE011";#N/A,#N/A,TRUE,"PAGE012";#N/A,#N/A,TRUE,"PAGE013"}</definedName>
    <definedName name="해양" hidden="1">{#N/A,#N/A,FALSE,"손익계획";#N/A,#N/A,FALSE,"수익계획";#N/A,#N/A,FALSE,"실적분석"}</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해양중점4" hidden="1">{#N/A,#N/A,TRUE,"LOADCOVE";#N/A,#N/A,TRUE,"PAGE001";#N/A,#N/A,TRUE,"PAGE002";#N/A,#N/A,TRUE,"PAGE003";#N/A,#N/A,TRUE,"PAGE004";#N/A,#N/A,TRUE,"PAGE005";#N/A,#N/A,TRUE,"PAGE006";#N/A,#N/A,TRUE,"PAGE007";#N/A,#N/A,TRUE,"PAGE008";#N/A,#N/A,TRUE,"PAGE009";#N/A,#N/A,TRUE,"PAGE010";#N/A,#N/A,TRUE,"PAGE011";#N/A,#N/A,TRUE,"PAGE012";#N/A,#N/A,TRUE,"PAGE013"}</definedName>
    <definedName name="해양중점5" hidden="1">{#N/A,#N/A,TRUE,"LOADCOVE";#N/A,#N/A,TRUE,"PAGE001";#N/A,#N/A,TRUE,"PAGE002";#N/A,#N/A,TRUE,"PAGE003";#N/A,#N/A,TRUE,"PAGE004";#N/A,#N/A,TRUE,"PAGE005";#N/A,#N/A,TRUE,"PAGE006";#N/A,#N/A,TRUE,"PAGE007";#N/A,#N/A,TRUE,"PAGE008";#N/A,#N/A,TRUE,"PAGE009";#N/A,#N/A,TRUE,"PAGE010";#N/A,#N/A,TRUE,"PAGE011";#N/A,#N/A,TRUE,"PAGE012";#N/A,#N/A,TRUE,"PAGE013"}</definedName>
    <definedName name="해양중점시설" hidden="1">{#N/A,#N/A,TRUE,"LOADCOVE";#N/A,#N/A,TRUE,"PAGE001";#N/A,#N/A,TRUE,"PAGE002";#N/A,#N/A,TRUE,"PAGE003";#N/A,#N/A,TRUE,"PAGE004";#N/A,#N/A,TRUE,"PAGE005";#N/A,#N/A,TRUE,"PAGE006";#N/A,#N/A,TRUE,"PAGE007";#N/A,#N/A,TRUE,"PAGE008";#N/A,#N/A,TRUE,"PAGE009";#N/A,#N/A,TRUE,"PAGE010";#N/A,#N/A,TRUE,"PAGE011";#N/A,#N/A,TRUE,"PAGE012";#N/A,#N/A,TRUE,"PAGE013"}</definedName>
    <definedName name="헐" hidden="1">{#N/A,#N/A,TRUE,"목차";#N/A,#N/A,TRUE,"1.";#N/A,#N/A,TRUE,"2.";#N/A,#N/A,TRUE,"3.";#N/A,#N/A,TRUE,"4-1";#N/A,#N/A,TRUE,"-2";#N/A,#N/A,TRUE,"-3";#N/A,#N/A,TRUE,"-4";#N/A,#N/A,TRUE,"5-1";#N/A,#N/A,TRUE,"5-2";#N/A,#N/A,TRUE,"6-1";#N/A,#N/A,TRUE,"6-2";#N/A,#N/A,TRUE,"7-1";#N/A,#N/A,TRUE,"7-2";#N/A,#N/A,TRUE,"8.";#N/A,#N/A,TRUE,"9."}</definedName>
    <definedName name="현대중공" hidden="1">{#N/A,#N/A,TRUE,"목차";#N/A,#N/A,TRUE,"1.";#N/A,#N/A,TRUE,"2.";#N/A,#N/A,TRUE,"3.";#N/A,#N/A,TRUE,"4-1";#N/A,#N/A,TRUE,"-2";#N/A,#N/A,TRUE,"-3";#N/A,#N/A,TRUE,"-4";#N/A,#N/A,TRUE,"5-1";#N/A,#N/A,TRUE,"5-2";#N/A,#N/A,TRUE,"6-1";#N/A,#N/A,TRUE,"6-2";#N/A,#N/A,TRUE,"7-1";#N/A,#N/A,TRUE,"7-2";#N/A,#N/A,TRUE,"8.";#N/A,#N/A,TRUE,"9."}</definedName>
    <definedName name="현장" hidden="1">#REF!</definedName>
    <definedName name="현장운영비산출" hidden="1">#REF!</definedName>
    <definedName name="현황" hidden="1">{"'매출계획'!$D$2"}</definedName>
    <definedName name="현황2" hidden="1">{"'매출계획'!$D$2"}</definedName>
    <definedName name="현황3" hidden="1">{"'매출계획'!$D$2"}</definedName>
    <definedName name="현황5" hidden="1">{"'매출계획'!$D$2"}</definedName>
    <definedName name="협력인원" hidden="1">{#N/A,#N/A,TRUE,"LOADCOVE";#N/A,#N/A,TRUE,"PAGE001";#N/A,#N/A,TRUE,"PAGE002";#N/A,#N/A,TRUE,"PAGE003";#N/A,#N/A,TRUE,"PAGE004";#N/A,#N/A,TRUE,"PAGE005";#N/A,#N/A,TRUE,"PAGE006";#N/A,#N/A,TRUE,"PAGE007";#N/A,#N/A,TRUE,"PAGE008";#N/A,#N/A,TRUE,"PAGE009";#N/A,#N/A,TRUE,"PAGE010";#N/A,#N/A,TRUE,"PAGE011";#N/A,#N/A,TRUE,"PAGE012";#N/A,#N/A,TRUE,"PAGE013"}</definedName>
    <definedName name="협의4" hidden="1">{#N/A,#N/A,TRUE,"목차";#N/A,#N/A,TRUE,"1.";#N/A,#N/A,TRUE,"2.";#N/A,#N/A,TRUE,"3.";#N/A,#N/A,TRUE,"4-1";#N/A,#N/A,TRUE,"-2";#N/A,#N/A,TRUE,"-3";#N/A,#N/A,TRUE,"-4";#N/A,#N/A,TRUE,"5-1";#N/A,#N/A,TRUE,"5-2";#N/A,#N/A,TRUE,"6-1";#N/A,#N/A,TRUE,"6-2";#N/A,#N/A,TRUE,"7-1";#N/A,#N/A,TRUE,"7-2";#N/A,#N/A,TRUE,"8.";#N/A,#N/A,TRUE,"9."}</definedName>
    <definedName name="협의5" hidden="1">{#N/A,#N/A,TRUE,"목차";#N/A,#N/A,TRUE,"1.";#N/A,#N/A,TRUE,"2.";#N/A,#N/A,TRUE,"3.";#N/A,#N/A,TRUE,"4-1";#N/A,#N/A,TRUE,"-2";#N/A,#N/A,TRUE,"-3";#N/A,#N/A,TRUE,"-4";#N/A,#N/A,TRUE,"5-1";#N/A,#N/A,TRUE,"5-2";#N/A,#N/A,TRUE,"6-1";#N/A,#N/A,TRUE,"6-2";#N/A,#N/A,TRUE,"7-1";#N/A,#N/A,TRUE,"7-2";#N/A,#N/A,TRUE,"8.";#N/A,#N/A,TRUE,"9."}</definedName>
    <definedName name="형강가공원가1" hidden="1">{"'매출계획'!$D$2"}</definedName>
    <definedName name="호러ㅏ" hidden="1">{#N/A,#N/A,TRUE,"목차";#N/A,#N/A,TRUE,"1.";#N/A,#N/A,TRUE,"2.";#N/A,#N/A,TRUE,"3.";#N/A,#N/A,TRUE,"4-1";#N/A,#N/A,TRUE,"-2";#N/A,#N/A,TRUE,"-3";#N/A,#N/A,TRUE,"-4";#N/A,#N/A,TRUE,"5-1";#N/A,#N/A,TRUE,"5-2";#N/A,#N/A,TRUE,"6-1";#N/A,#N/A,TRUE,"6-2";#N/A,#N/A,TRUE,"7-1";#N/A,#N/A,TRUE,"7-2";#N/A,#N/A,TRUE,"8.";#N/A,#N/A,TRUE,"9."}</definedName>
    <definedName name="호호" hidden="1">{"'매출계획'!$D$2"}</definedName>
    <definedName name="호호호" hidden="1">{#N/A,#N/A,TRUE,"목차";#N/A,#N/A,TRUE,"1.";#N/A,#N/A,TRUE,"2.";#N/A,#N/A,TRUE,"3.";#N/A,#N/A,TRUE,"4-1";#N/A,#N/A,TRUE,"-2";#N/A,#N/A,TRUE,"-3";#N/A,#N/A,TRUE,"-4";#N/A,#N/A,TRUE,"5-1";#N/A,#N/A,TRUE,"5-2";#N/A,#N/A,TRUE,"6-1";#N/A,#N/A,TRUE,"6-2";#N/A,#N/A,TRUE,"7-1";#N/A,#N/A,TRUE,"7-2";#N/A,#N/A,TRUE,"8.";#N/A,#N/A,TRUE,"9."}</definedName>
    <definedName name="호ㅓㅓㅏㅏㅏㅏ" hidden="1">{"'매출계획'!$D$2"}</definedName>
    <definedName name="홍길동"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환경1" hidden="1">{#N/A,#N/A,TRUE,"LOADCOVE";#N/A,#N/A,TRUE,"PAGE001";#N/A,#N/A,TRUE,"PAGE002";#N/A,#N/A,TRUE,"PAGE003";#N/A,#N/A,TRUE,"PAGE004";#N/A,#N/A,TRUE,"PAGE005";#N/A,#N/A,TRUE,"PAGE006";#N/A,#N/A,TRUE,"PAGE007";#N/A,#N/A,TRUE,"PAGE008";#N/A,#N/A,TRUE,"PAGE009";#N/A,#N/A,TRUE,"PAGE010";#N/A,#N/A,TRUE,"PAGE011";#N/A,#N/A,TRUE,"PAGE012";#N/A,#N/A,TRUE,"PAGE013"}</definedName>
    <definedName name="환경변화1" hidden="1">{#N/A,#N/A,TRUE,"LOADCOVE";#N/A,#N/A,TRUE,"PAGE001";#N/A,#N/A,TRUE,"PAGE002";#N/A,#N/A,TRUE,"PAGE003";#N/A,#N/A,TRUE,"PAGE004";#N/A,#N/A,TRUE,"PAGE005";#N/A,#N/A,TRUE,"PAGE006";#N/A,#N/A,TRUE,"PAGE007";#N/A,#N/A,TRUE,"PAGE008";#N/A,#N/A,TRUE,"PAGE009";#N/A,#N/A,TRUE,"PAGE010";#N/A,#N/A,TRUE,"PAGE011";#N/A,#N/A,TRUE,"PAGE012";#N/A,#N/A,TRUE,"PAGE013"}</definedName>
    <definedName name="휠로다" hidden="1">{#N/A,#N/A,TRUE,"목차";#N/A,#N/A,TRUE,"1.";#N/A,#N/A,TRUE,"2.";#N/A,#N/A,TRUE,"3.";#N/A,#N/A,TRUE,"4-1";#N/A,#N/A,TRUE,"-2";#N/A,#N/A,TRUE,"-3";#N/A,#N/A,TRUE,"-4";#N/A,#N/A,TRUE,"5-1";#N/A,#N/A,TRUE,"5-2";#N/A,#N/A,TRUE,"6-1";#N/A,#N/A,TRUE,"6-2";#N/A,#N/A,TRUE,"7-1";#N/A,#N/A,TRUE,"7-2";#N/A,#N/A,TRUE,"8.";#N/A,#N/A,TRUE,"9."}</definedName>
    <definedName name="휠로다구조해석" hidden="1">{#N/A,#N/A,TRUE,"목차";#N/A,#N/A,TRUE,"1.";#N/A,#N/A,TRUE,"2.";#N/A,#N/A,TRUE,"3.";#N/A,#N/A,TRUE,"4-1";#N/A,#N/A,TRUE,"-2";#N/A,#N/A,TRUE,"-3";#N/A,#N/A,TRUE,"-4";#N/A,#N/A,TRUE,"5-1";#N/A,#N/A,TRUE,"5-2";#N/A,#N/A,TRUE,"6-1";#N/A,#N/A,TRUE,"6-2";#N/A,#N/A,TRUE,"7-1";#N/A,#N/A,TRUE,"7-2";#N/A,#N/A,TRUE,"8.";#N/A,#N/A,TRUE,"9."}</definedName>
    <definedName name="흠냐리냥" hidden="1">{#N/A,#N/A,TRUE,"목차";#N/A,#N/A,TRUE,"1.";#N/A,#N/A,TRUE,"2.";#N/A,#N/A,TRUE,"3.";#N/A,#N/A,TRUE,"4-1";#N/A,#N/A,TRUE,"-2";#N/A,#N/A,TRUE,"-3";#N/A,#N/A,TRUE,"-4";#N/A,#N/A,TRUE,"5-1";#N/A,#N/A,TRUE,"5-2";#N/A,#N/A,TRUE,"6-1";#N/A,#N/A,TRUE,"6-2";#N/A,#N/A,TRUE,"7-1";#N/A,#N/A,TRUE,"7-2";#N/A,#N/A,TRUE,"8.";#N/A,#N/A,TRUE,"9."}</definedName>
    <definedName name="흠냥" hidden="1">{#N/A,#N/A,TRUE,"목차";#N/A,#N/A,TRUE,"1.";#N/A,#N/A,TRUE,"2.";#N/A,#N/A,TRUE,"3.";#N/A,#N/A,TRUE,"4-1";#N/A,#N/A,TRUE,"-2";#N/A,#N/A,TRUE,"-3";#N/A,#N/A,TRUE,"-4";#N/A,#N/A,TRUE,"5-1";#N/A,#N/A,TRUE,"5-2";#N/A,#N/A,TRUE,"6-1";#N/A,#N/A,TRUE,"6-2";#N/A,#N/A,TRUE,"7-1";#N/A,#N/A,TRUE,"7-2";#N/A,#N/A,TRUE,"8.";#N/A,#N/A,TRUE,"9."}</definedName>
    <definedName name="ㅏ" hidden="1">{#N/A,#N/A,TRUE,"LOADCOVE";#N/A,#N/A,TRUE,"PAGE001";#N/A,#N/A,TRUE,"PAGE002";#N/A,#N/A,TRUE,"PAGE003";#N/A,#N/A,TRUE,"PAGE004";#N/A,#N/A,TRUE,"PAGE005";#N/A,#N/A,TRUE,"PAGE006";#N/A,#N/A,TRUE,"PAGE007";#N/A,#N/A,TRUE,"PAGE008";#N/A,#N/A,TRUE,"PAGE009";#N/A,#N/A,TRUE,"PAGE010";#N/A,#N/A,TRUE,"PAGE011";#N/A,#N/A,TRUE,"PAGE012";#N/A,#N/A,TRUE,"PAGE013"}</definedName>
    <definedName name="ㅏㅏ" hidden="1">{"'장비'!$A$3:$M$12"}</definedName>
    <definedName name="ㅏㅏㅏ" hidden="1">{"'매출계획'!$D$2"}</definedName>
    <definedName name="ㅏㅏㅏㅏ" hidden="1">{#N/A,#N/A,TRUE,"목차";#N/A,#N/A,TRUE,"1.";#N/A,#N/A,TRUE,"2.";#N/A,#N/A,TRUE,"3.";#N/A,#N/A,TRUE,"4-1";#N/A,#N/A,TRUE,"-2";#N/A,#N/A,TRUE,"-3";#N/A,#N/A,TRUE,"-4";#N/A,#N/A,TRUE,"5-1";#N/A,#N/A,TRUE,"5-2";#N/A,#N/A,TRUE,"6-1";#N/A,#N/A,TRUE,"6-2";#N/A,#N/A,TRUE,"7-1";#N/A,#N/A,TRUE,"7-2";#N/A,#N/A,TRUE,"8.";#N/A,#N/A,TRUE,"9."}</definedName>
    <definedName name="ㅏㅑㅏㅑㅏㅑ" hidden="1">{#N/A,#N/A,TRUE,"목차";#N/A,#N/A,TRUE,"1.";#N/A,#N/A,TRUE,"2.";#N/A,#N/A,TRUE,"3.";#N/A,#N/A,TRUE,"4-1";#N/A,#N/A,TRUE,"-2";#N/A,#N/A,TRUE,"-3";#N/A,#N/A,TRUE,"-4";#N/A,#N/A,TRUE,"5-1";#N/A,#N/A,TRUE,"5-2";#N/A,#N/A,TRUE,"6-1";#N/A,#N/A,TRUE,"6-2";#N/A,#N/A,TRUE,"7-1";#N/A,#N/A,TRUE,"7-2";#N/A,#N/A,TRUE,"8.";#N/A,#N/A,TRUE,"9."}</definedName>
    <definedName name="ㅏㅑㅡ" hidden="1">{#N/A,#N/A,TRUE,"목차";#N/A,#N/A,TRUE,"1.";#N/A,#N/A,TRUE,"2.";#N/A,#N/A,TRUE,"3.";#N/A,#N/A,TRUE,"4-1";#N/A,#N/A,TRUE,"-2";#N/A,#N/A,TRUE,"-3";#N/A,#N/A,TRUE,"-4";#N/A,#N/A,TRUE,"5-1";#N/A,#N/A,TRUE,"5-2";#N/A,#N/A,TRUE,"6-1";#N/A,#N/A,TRUE,"6-2";#N/A,#N/A,TRUE,"7-1";#N/A,#N/A,TRUE,"7-2";#N/A,#N/A,TRUE,"8.";#N/A,#N/A,TRUE,"9."}</definedName>
    <definedName name="ㅏㅓㅣ" hidden="1">{#N/A,#N/A,TRUE,"목차";#N/A,#N/A,TRUE,"1.";#N/A,#N/A,TRUE,"2.";#N/A,#N/A,TRUE,"3.";#N/A,#N/A,TRUE,"4-1";#N/A,#N/A,TRUE,"-2";#N/A,#N/A,TRUE,"-3";#N/A,#N/A,TRUE,"-4";#N/A,#N/A,TRUE,"5-1";#N/A,#N/A,TRUE,"5-2";#N/A,#N/A,TRUE,"6-1";#N/A,#N/A,TRUE,"6-2";#N/A,#N/A,TRUE,"7-1";#N/A,#N/A,TRUE,"7-2";#N/A,#N/A,TRUE,"8.";#N/A,#N/A,TRUE,"9."}</definedName>
    <definedName name="ㅏㅛㅓ" hidden="1">{"'매출계획'!$D$2"}</definedName>
    <definedName name="ㅐㅐ" hidden="1">{#N/A,#N/A,TRUE,"LOADCOVE";#N/A,#N/A,TRUE,"PAGE001";#N/A,#N/A,TRUE,"PAGE002";#N/A,#N/A,TRUE,"PAGE003";#N/A,#N/A,TRUE,"PAGE004";#N/A,#N/A,TRUE,"PAGE005";#N/A,#N/A,TRUE,"PAGE006";#N/A,#N/A,TRUE,"PAGE007";#N/A,#N/A,TRUE,"PAGE008";#N/A,#N/A,TRUE,"PAGE009";#N/A,#N/A,TRUE,"PAGE010";#N/A,#N/A,TRUE,"PAGE011";#N/A,#N/A,TRUE,"PAGE012";#N/A,#N/A,TRUE,"PAGE013"}</definedName>
    <definedName name="ㅐㅐㅐㅐㅐㅐㅐㅐㅐㅐㅐㅐㅐㅐㅐㅐㅐㅐㅐㅐㅐㅐㅐㅐㅐㅐㅐㅐㅐㅐㅐㅐㅐㅐㅐㅐㅐㅐㅐㅐㅐㅐㅐㅐㅐㅐㅐㅐㅐ" hidden="1">{"'매출계획'!$D$2"}</definedName>
    <definedName name="ㅑㅑ" hidden="1">{#N/A,#N/A,TRUE,"LOADCOVE";#N/A,#N/A,TRUE,"PAGE001";#N/A,#N/A,TRUE,"PAGE002";#N/A,#N/A,TRUE,"PAGE003";#N/A,#N/A,TRUE,"PAGE004";#N/A,#N/A,TRUE,"PAGE005";#N/A,#N/A,TRUE,"PAGE006";#N/A,#N/A,TRUE,"PAGE007";#N/A,#N/A,TRUE,"PAGE008";#N/A,#N/A,TRUE,"PAGE009";#N/A,#N/A,TRUE,"PAGE010";#N/A,#N/A,TRUE,"PAGE011";#N/A,#N/A,TRUE,"PAGE012";#N/A,#N/A,TRUE,"PAGE013"}</definedName>
    <definedName name="ㅑㅑㅑㅑ" hidden="1">{"'매출계획'!$D$2"}</definedName>
    <definedName name="ㅑㅑㅑㅑㅑㅑㅑㅑ" hidden="1">{"'매출계획'!$D$2"}</definedName>
    <definedName name="ㅑㅑㅑㅑㅑㅑㅑㅑㅑㅑㅑㅑㅑㅑㅑㅑㅑㅑㅑㅑ" hidden="1">{"'매출계획'!$D$2"}</definedName>
    <definedName name="ㅓ호ㅓ호" hidden="1">{#N/A,#N/A,TRUE,"목차";#N/A,#N/A,TRUE,"1.";#N/A,#N/A,TRUE,"2.";#N/A,#N/A,TRUE,"3.";#N/A,#N/A,TRUE,"4-1";#N/A,#N/A,TRUE,"-2";#N/A,#N/A,TRUE,"-3";#N/A,#N/A,TRUE,"-4";#N/A,#N/A,TRUE,"5-1";#N/A,#N/A,TRUE,"5-2";#N/A,#N/A,TRUE,"6-1";#N/A,#N/A,TRUE,"6-2";#N/A,#N/A,TRUE,"7-1";#N/A,#N/A,TRUE,"7-2";#N/A,#N/A,TRUE,"8.";#N/A,#N/A,TRUE,"9."}</definedName>
    <definedName name="ㅓㅏ" hidden="1">{"'매출계획'!$D$2"}</definedName>
    <definedName name="ㅓㅓ" hidden="1">{#N/A,#N/A,TRUE,"LOADCOVE";#N/A,#N/A,TRUE,"PAGE001";#N/A,#N/A,TRUE,"PAGE002";#N/A,#N/A,TRUE,"PAGE003";#N/A,#N/A,TRUE,"PAGE004";#N/A,#N/A,TRUE,"PAGE005";#N/A,#N/A,TRUE,"PAGE006";#N/A,#N/A,TRUE,"PAGE007";#N/A,#N/A,TRUE,"PAGE008";#N/A,#N/A,TRUE,"PAGE009";#N/A,#N/A,TRUE,"PAGE010";#N/A,#N/A,TRUE,"PAGE011";#N/A,#N/A,TRUE,"PAGE012";#N/A,#N/A,TRUE,"PAGE013"}</definedName>
    <definedName name="ㅓㅓㅓ" hidden="1">{"'매출계획'!$D$2"}</definedName>
    <definedName name="ㅓㅓㅓㅓㅓ" hidden="1">{#N/A,#N/A,TRUE,"목차";#N/A,#N/A,TRUE,"1.";#N/A,#N/A,TRUE,"2.";#N/A,#N/A,TRUE,"3.";#N/A,#N/A,TRUE,"4-1";#N/A,#N/A,TRUE,"-2";#N/A,#N/A,TRUE,"-3";#N/A,#N/A,TRUE,"-4";#N/A,#N/A,TRUE,"5-1";#N/A,#N/A,TRUE,"5-2";#N/A,#N/A,TRUE,"6-1";#N/A,#N/A,TRUE,"6-2";#N/A,#N/A,TRUE,"7-1";#N/A,#N/A,TRUE,"7-2";#N/A,#N/A,TRUE,"8.";#N/A,#N/A,TRUE,"9."}</definedName>
    <definedName name="ㅓㅓㅓㅓㅓㅓㅓㅓㅓㅓㅓㅓㅓㅓㅓㅓ" hidden="1">{"'매출계획'!$D$2"}</definedName>
    <definedName name="ㅓㅓㅓㅓㅓㅓㅓㅓㅓㅓㅓㅓㅓㅓㅓㅓㅓㅓㅓㅓㅓㅓㅓㅓㅓㅏㅏㅏㅏㅏㅏㅏㅏㅏ" hidden="1">{"'매출계획'!$D$2"}</definedName>
    <definedName name="ㅓㅗ허" hidden="1">{#N/A,#N/A,TRUE,"목차";#N/A,#N/A,TRUE,"1.";#N/A,#N/A,TRUE,"2.";#N/A,#N/A,TRUE,"3.";#N/A,#N/A,TRUE,"4-1";#N/A,#N/A,TRUE,"-2";#N/A,#N/A,TRUE,"-3";#N/A,#N/A,TRUE,"-4";#N/A,#N/A,TRUE,"5-1";#N/A,#N/A,TRUE,"5-2";#N/A,#N/A,TRUE,"6-1";#N/A,#N/A,TRUE,"6-2";#N/A,#N/A,TRUE,"7-1";#N/A,#N/A,TRUE,"7-2";#N/A,#N/A,TRUE,"8.";#N/A,#N/A,TRUE,"9."}</definedName>
    <definedName name="ㅓㅗ허홓" hidden="1">{#N/A,#N/A,TRUE,"목차";#N/A,#N/A,TRUE,"1.";#N/A,#N/A,TRUE,"2.";#N/A,#N/A,TRUE,"3.";#N/A,#N/A,TRUE,"4-1";#N/A,#N/A,TRUE,"-2";#N/A,#N/A,TRUE,"-3";#N/A,#N/A,TRUE,"-4";#N/A,#N/A,TRUE,"5-1";#N/A,#N/A,TRUE,"5-2";#N/A,#N/A,TRUE,"6-1";#N/A,#N/A,TRUE,"6-2";#N/A,#N/A,TRUE,"7-1";#N/A,#N/A,TRUE,"7-2";#N/A,#N/A,TRUE,"8.";#N/A,#N/A,TRUE,"9."}</definedName>
    <definedName name="ㅓㅣ" hidden="1">{"'매출계획'!$D$2"}</definedName>
    <definedName name="ㅔㅐTTTT" hidden="1">{"'매출계획'!$D$2"}</definedName>
    <definedName name="ㅔㅔ"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ㅔㅔㅔㅔ" hidden="1">{#N/A,#N/A,TRUE,"목차";#N/A,#N/A,TRUE,"1.";#N/A,#N/A,TRUE,"2.";#N/A,#N/A,TRUE,"3.";#N/A,#N/A,TRUE,"4-1";#N/A,#N/A,TRUE,"-2";#N/A,#N/A,TRUE,"-3";#N/A,#N/A,TRUE,"-4";#N/A,#N/A,TRUE,"5-1";#N/A,#N/A,TRUE,"5-2";#N/A,#N/A,TRUE,"6-1";#N/A,#N/A,TRUE,"6-2";#N/A,#N/A,TRUE,"7-1";#N/A,#N/A,TRUE,"7-2";#N/A,#N/A,TRUE,"8.";#N/A,#N/A,TRUE,"9."}</definedName>
    <definedName name="ㅕㅑㅑ" hidden="1">{"'매출계획'!$D$2"}</definedName>
    <definedName name="ㅕㅑㅛ" hidden="1">{"'매출계획'!$D$2"}</definedName>
    <definedName name="ㅕㅓㅏㅣㅕ" hidden="1">{"'매출계획'!$D$2"}</definedName>
    <definedName name="ㅕㅕ" hidden="1">{#N/A,#N/A,TRUE,"LOADCOVE";#N/A,#N/A,TRUE,"PAGE001";#N/A,#N/A,TRUE,"PAGE002";#N/A,#N/A,TRUE,"PAGE003";#N/A,#N/A,TRUE,"PAGE004";#N/A,#N/A,TRUE,"PAGE005";#N/A,#N/A,TRUE,"PAGE006";#N/A,#N/A,TRUE,"PAGE007";#N/A,#N/A,TRUE,"PAGE008";#N/A,#N/A,TRUE,"PAGE009";#N/A,#N/A,TRUE,"PAGE010";#N/A,#N/A,TRUE,"PAGE011";#N/A,#N/A,TRUE,"PAGE012";#N/A,#N/A,TRUE,"PAGE013"}</definedName>
    <definedName name="ㅕㅛㅕㅓ" hidden="1">{#N/A,#N/A,TRUE,"목차";#N/A,#N/A,TRUE,"1.";#N/A,#N/A,TRUE,"2.";#N/A,#N/A,TRUE,"3.";#N/A,#N/A,TRUE,"4-1";#N/A,#N/A,TRUE,"-2";#N/A,#N/A,TRUE,"-3";#N/A,#N/A,TRUE,"-4";#N/A,#N/A,TRUE,"5-1";#N/A,#N/A,TRUE,"5-2";#N/A,#N/A,TRUE,"6-1";#N/A,#N/A,TRUE,"6-2";#N/A,#N/A,TRUE,"7-1";#N/A,#N/A,TRUE,"7-2";#N/A,#N/A,TRUE,"8.";#N/A,#N/A,TRUE,"9."}</definedName>
    <definedName name="ㅗㄹ엏거ㅗㄱ" hidden="1">{#N/A,#N/A,TRUE,"목차";#N/A,#N/A,TRUE,"1.";#N/A,#N/A,TRUE,"2.";#N/A,#N/A,TRUE,"3.";#N/A,#N/A,TRUE,"4-1";#N/A,#N/A,TRUE,"-2";#N/A,#N/A,TRUE,"-3";#N/A,#N/A,TRUE,"-4";#N/A,#N/A,TRUE,"5-1";#N/A,#N/A,TRUE,"5-2";#N/A,#N/A,TRUE,"6-1";#N/A,#N/A,TRUE,"6-2";#N/A,#N/A,TRUE,"7-1";#N/A,#N/A,TRUE,"7-2";#N/A,#N/A,TRUE,"8.";#N/A,#N/A,TRUE,"9."}</definedName>
    <definedName name="ㅗㅈ" hidden="1">{#N/A,#N/A,TRUE,"LOADCOVE";#N/A,#N/A,TRUE,"PAGE001";#N/A,#N/A,TRUE,"PAGE002";#N/A,#N/A,TRUE,"PAGE003";#N/A,#N/A,TRUE,"PAGE004";#N/A,#N/A,TRUE,"PAGE005";#N/A,#N/A,TRUE,"PAGE006";#N/A,#N/A,TRUE,"PAGE007";#N/A,#N/A,TRUE,"PAGE008";#N/A,#N/A,TRUE,"PAGE009";#N/A,#N/A,TRUE,"PAGE010";#N/A,#N/A,TRUE,"PAGE011";#N/A,#N/A,TRUE,"PAGE012";#N/A,#N/A,TRUE,"PAGE013"}</definedName>
    <definedName name="ㅗㅎ" hidden="1">{#N/A,#N/A,TRUE,"LOADCOVE";#N/A,#N/A,TRUE,"PAGE001";#N/A,#N/A,TRUE,"PAGE002";#N/A,#N/A,TRUE,"PAGE003";#N/A,#N/A,TRUE,"PAGE004";#N/A,#N/A,TRUE,"PAGE005";#N/A,#N/A,TRUE,"PAGE006";#N/A,#N/A,TRUE,"PAGE007";#N/A,#N/A,TRUE,"PAGE008";#N/A,#N/A,TRUE,"PAGE009";#N/A,#N/A,TRUE,"PAGE010";#N/A,#N/A,TRUE,"PAGE011";#N/A,#N/A,TRUE,"PAGE012";#N/A,#N/A,TRUE,"PAGE013"}</definedName>
    <definedName name="ㅗㅎㄹㅇ홓" hidden="1">{"'매출계획'!$D$2"}</definedName>
    <definedName name="ㅗㅎ롤" hidden="1">{#N/A,#N/A,TRUE,"목차";#N/A,#N/A,TRUE,"1.";#N/A,#N/A,TRUE,"2.";#N/A,#N/A,TRUE,"3.";#N/A,#N/A,TRUE,"4-1";#N/A,#N/A,TRUE,"-2";#N/A,#N/A,TRUE,"-3";#N/A,#N/A,TRUE,"-4";#N/A,#N/A,TRUE,"5-1";#N/A,#N/A,TRUE,"5-2";#N/A,#N/A,TRUE,"6-1";#N/A,#N/A,TRUE,"6-2";#N/A,#N/A,TRUE,"7-1";#N/A,#N/A,TRUE,"7-2";#N/A,#N/A,TRUE,"8.";#N/A,#N/A,TRUE,"9."}</definedName>
    <definedName name="ㅗㅕㅏ허ㅛ소" hidden="1">{#N/A,#N/A,TRUE,"2-1고압차단기";#N/A,#N/A,TRUE,"2-1배전반";#N/A,#N/A,TRUE,"2-1저압차단기";#N/A,#N/A,TRUE,"2-1전력전자제어";#N/A,#N/A,TRUE,"2-1전동기기";#N/A,#N/A,TRUE,"2-1소형전동기";#N/A,#N/A,TRUE,"2-1견인전동기";#N/A,#N/A,TRUE,"2-1발전설비";#N/A,#N/A,TRUE,"2-2배전신규";#N/A,#N/A,TRUE,"2-2저차_신규";#N/A,#N/A,TRUE,"2-2전력제어신규";#N/A,#N/A,TRUE,"2-2전동기신규";#N/A,#N/A,TRUE,"2-2소형전동신규"}</definedName>
    <definedName name="ㅗㅗㅗㅗ" hidden="1">{"'매출계획'!$D$2"}</definedName>
    <definedName name="ㅗㅗㅗㅗㅗ" hidden="1">{#N/A,#N/A,TRUE,"LOADCOVE";#N/A,#N/A,TRUE,"PAGE001";#N/A,#N/A,TRUE,"PAGE002";#N/A,#N/A,TRUE,"PAGE003";#N/A,#N/A,TRUE,"PAGE004";#N/A,#N/A,TRUE,"PAGE005";#N/A,#N/A,TRUE,"PAGE006";#N/A,#N/A,TRUE,"PAGE007";#N/A,#N/A,TRUE,"PAGE008";#N/A,#N/A,TRUE,"PAGE009";#N/A,#N/A,TRUE,"PAGE010";#N/A,#N/A,TRUE,"PAGE011";#N/A,#N/A,TRUE,"PAGE012";#N/A,#N/A,TRUE,"PAGE013"}</definedName>
    <definedName name="ㅛ샤" hidden="1">{"'매출계획'!$D$2"}</definedName>
    <definedName name="ㅛㅈㄷㄱ" hidden="1">{#N/A,#N/A,TRUE,"목차";#N/A,#N/A,TRUE,"1.";#N/A,#N/A,TRUE,"2.";#N/A,#N/A,TRUE,"3.";#N/A,#N/A,TRUE,"4-1";#N/A,#N/A,TRUE,"-2";#N/A,#N/A,TRUE,"-3";#N/A,#N/A,TRUE,"-4";#N/A,#N/A,TRUE,"5-1";#N/A,#N/A,TRUE,"5-2";#N/A,#N/A,TRUE,"6-1";#N/A,#N/A,TRUE,"6-2";#N/A,#N/A,TRUE,"7-1";#N/A,#N/A,TRUE,"7-2";#N/A,#N/A,TRUE,"8.";#N/A,#N/A,TRUE,"9."}</definedName>
    <definedName name="ㅛㅏㄹ" hidden="1">{"'매출계획'!$D$2"}</definedName>
    <definedName name="ㅛㅕㅛㅕㅛ" hidden="1">{"'매출계획'!$D$2"}</definedName>
    <definedName name="ㅛㅛ" hidden="1">{#N/A,#N/A,TRUE,"LOADCOVE";#N/A,#N/A,TRUE,"PAGE001";#N/A,#N/A,TRUE,"PAGE002";#N/A,#N/A,TRUE,"PAGE003";#N/A,#N/A,TRUE,"PAGE004";#N/A,#N/A,TRUE,"PAGE005";#N/A,#N/A,TRUE,"PAGE006";#N/A,#N/A,TRUE,"PAGE007";#N/A,#N/A,TRUE,"PAGE008";#N/A,#N/A,TRUE,"PAGE009";#N/A,#N/A,TRUE,"PAGE010";#N/A,#N/A,TRUE,"PAGE011";#N/A,#N/A,TRUE,"PAGE012";#N/A,#N/A,TRUE,"PAGE013"}</definedName>
    <definedName name="ㅛㅛ쇼ㅛㅛㅛㅛㅛㅛㅛㅛㅛㅛㅛ" hidden="1">{"'매출계획'!$D$2"}</definedName>
    <definedName name="ㅜ호홓로호호" hidden="1">{"'매출계획'!$D$2"}</definedName>
    <definedName name="ㅜㅜ" hidden="1">{#N/A,#N/A,TRUE,"목차";#N/A,#N/A,TRUE,"1.";#N/A,#N/A,TRUE,"2.";#N/A,#N/A,TRUE,"3.";#N/A,#N/A,TRUE,"4-1";#N/A,#N/A,TRUE,"-2";#N/A,#N/A,TRUE,"-3";#N/A,#N/A,TRUE,"-4";#N/A,#N/A,TRUE,"5-1";#N/A,#N/A,TRUE,"5-2";#N/A,#N/A,TRUE,"6-1";#N/A,#N/A,TRUE,"6-2";#N/A,#N/A,TRUE,"7-1";#N/A,#N/A,TRUE,"7-2";#N/A,#N/A,TRUE,"8.";#N/A,#N/A,TRUE,"9."}</definedName>
    <definedName name="ㅜㅜㅜㅜㅜ" hidden="1">{"'매출계획'!$D$2"}</definedName>
    <definedName name="ㅜㅜㅜㅜㅜㅜㅜㅜㅜㅜ" hidden="1">{#N/A,#N/A,TRUE,"목차";#N/A,#N/A,TRUE,"1.";#N/A,#N/A,TRUE,"2.";#N/A,#N/A,TRUE,"3.";#N/A,#N/A,TRUE,"4-1";#N/A,#N/A,TRUE,"-2";#N/A,#N/A,TRUE,"-3";#N/A,#N/A,TRUE,"-4";#N/A,#N/A,TRUE,"5-1";#N/A,#N/A,TRUE,"5-2";#N/A,#N/A,TRUE,"6-1";#N/A,#N/A,TRUE,"6-2";#N/A,#N/A,TRUE,"7-1";#N/A,#N/A,TRUE,"7-2";#N/A,#N/A,TRUE,"8.";#N/A,#N/A,TRUE,"9."}</definedName>
    <definedName name="ㅠㅗㅇㅀ" hidden="1">{"'매출계획'!$D$2"}</definedName>
    <definedName name="ㅠㅠ" hidden="1">{#N/A,#N/A,TRUE,"목차";#N/A,#N/A,TRUE,"1.";#N/A,#N/A,TRUE,"2.";#N/A,#N/A,TRUE,"3.";#N/A,#N/A,TRUE,"4-1";#N/A,#N/A,TRUE,"-2";#N/A,#N/A,TRUE,"-3";#N/A,#N/A,TRUE,"-4";#N/A,#N/A,TRUE,"5-1";#N/A,#N/A,TRUE,"5-2";#N/A,#N/A,TRUE,"6-1";#N/A,#N/A,TRUE,"6-2";#N/A,#N/A,TRUE,"7-1";#N/A,#N/A,TRUE,"7-2";#N/A,#N/A,TRUE,"8.";#N/A,#N/A,TRUE,"9."}</definedName>
    <definedName name="ㅡㅁ" hidden="1">{#N/A,#N/A,TRUE,"LOADCOVE";#N/A,#N/A,TRUE,"PAGE001";#N/A,#N/A,TRUE,"PAGE002";#N/A,#N/A,TRUE,"PAGE003";#N/A,#N/A,TRUE,"PAGE004";#N/A,#N/A,TRUE,"PAGE005";#N/A,#N/A,TRUE,"PAGE006";#N/A,#N/A,TRUE,"PAGE007";#N/A,#N/A,TRUE,"PAGE008";#N/A,#N/A,TRUE,"PAGE009";#N/A,#N/A,TRUE,"PAGE010";#N/A,#N/A,TRUE,"PAGE011";#N/A,#N/A,TRUE,"PAGE012";#N/A,#N/A,TRUE,"PAGE013"}</definedName>
    <definedName name="ㅡ뭏" hidden="1">{#N/A,#N/A,TRUE,"LOADCOVE";#N/A,#N/A,TRUE,"PAGE001";#N/A,#N/A,TRUE,"PAGE002";#N/A,#N/A,TRUE,"PAGE003";#N/A,#N/A,TRUE,"PAGE004";#N/A,#N/A,TRUE,"PAGE005";#N/A,#N/A,TRUE,"PAGE006";#N/A,#N/A,TRUE,"PAGE007";#N/A,#N/A,TRUE,"PAGE008";#N/A,#N/A,TRUE,"PAGE009";#N/A,#N/A,TRUE,"PAGE010";#N/A,#N/A,TRUE,"PAGE011";#N/A,#N/A,TRUE,"PAGE012";#N/A,#N/A,TRUE,"PAGE013"}</definedName>
    <definedName name="ㅡㅡ" hidden="1">{#N/A,#N/A,TRUE,"LOADCOVE";#N/A,#N/A,TRUE,"PAGE001";#N/A,#N/A,TRUE,"PAGE002";#N/A,#N/A,TRUE,"PAGE003";#N/A,#N/A,TRUE,"PAGE004";#N/A,#N/A,TRUE,"PAGE005";#N/A,#N/A,TRUE,"PAGE006";#N/A,#N/A,TRUE,"PAGE007";#N/A,#N/A,TRUE,"PAGE008";#N/A,#N/A,TRUE,"PAGE009";#N/A,#N/A,TRUE,"PAGE010";#N/A,#N/A,TRUE,"PAGE011";#N/A,#N/A,TRUE,"PAGE012";#N/A,#N/A,TRUE,"PAGE013"}</definedName>
    <definedName name="ㅡㅡㅡ" hidden="1">{#N/A,#N/A,TRUE,"LOADCOVE";#N/A,#N/A,TRUE,"PAGE001";#N/A,#N/A,TRUE,"PAGE002";#N/A,#N/A,TRUE,"PAGE003";#N/A,#N/A,TRUE,"PAGE004";#N/A,#N/A,TRUE,"PAGE005";#N/A,#N/A,TRUE,"PAGE006";#N/A,#N/A,TRUE,"PAGE007";#N/A,#N/A,TRUE,"PAGE008";#N/A,#N/A,TRUE,"PAGE009";#N/A,#N/A,TRUE,"PAGE010";#N/A,#N/A,TRUE,"PAGE011";#N/A,#N/A,TRUE,"PAGE012";#N/A,#N/A,TRUE,"PAGE013"}</definedName>
    <definedName name="ㅡㅡㅡㅡㅡㅡㅡㅡㅡㅡㅡㅡㅡㅡㅡ흐" hidden="1">{"'매출계획'!$D$2"}</definedName>
    <definedName name="ㅣㅐㅔ" hidden="1">{#N/A,#N/A,TRUE,"LOADCOVE";#N/A,#N/A,TRUE,"PAGE001";#N/A,#N/A,TRUE,"PAGE002";#N/A,#N/A,TRUE,"PAGE003";#N/A,#N/A,TRUE,"PAGE004";#N/A,#N/A,TRUE,"PAGE005";#N/A,#N/A,TRUE,"PAGE006";#N/A,#N/A,TRUE,"PAGE007";#N/A,#N/A,TRUE,"PAGE008";#N/A,#N/A,TRUE,"PAGE009";#N/A,#N/A,TRUE,"PAGE010";#N/A,#N/A,TRUE,"PAGE011";#N/A,#N/A,TRUE,"PAGE012";#N/A,#N/A,TRUE,"PAGE013"}</definedName>
    <definedName name="ㅣㅣ" hidden="1">{#N/A,#N/A,TRUE,"LOADCOVE";#N/A,#N/A,TRUE,"PAGE001";#N/A,#N/A,TRUE,"PAGE002";#N/A,#N/A,TRUE,"PAGE003";#N/A,#N/A,TRUE,"PAGE004";#N/A,#N/A,TRUE,"PAGE005";#N/A,#N/A,TRUE,"PAGE006";#N/A,#N/A,TRUE,"PAGE007";#N/A,#N/A,TRUE,"PAGE008";#N/A,#N/A,TRUE,"PAGE009";#N/A,#N/A,TRUE,"PAGE010";#N/A,#N/A,TRUE,"PAGE011";#N/A,#N/A,TRUE,"PAGE012";#N/A,#N/A,TRUE,"PAGE013"}</definedName>
    <definedName name="ㅣㅣㅣ" hidden="1">{#N/A,#N/A,TRUE,"목차";#N/A,#N/A,TRUE,"1.";#N/A,#N/A,TRUE,"2.";#N/A,#N/A,TRUE,"3.";#N/A,#N/A,TRUE,"4-1";#N/A,#N/A,TRUE,"-2";#N/A,#N/A,TRUE,"-3";#N/A,#N/A,TRUE,"-4";#N/A,#N/A,TRUE,"5-1";#N/A,#N/A,TRUE,"5-2";#N/A,#N/A,TRUE,"6-1";#N/A,#N/A,TRUE,"6-2";#N/A,#N/A,TRUE,"7-1";#N/A,#N/A,TRUE,"7-2";#N/A,#N/A,TRUE,"8.";#N/A,#N/A,TRUE,"9."}</definedName>
    <definedName name="管理费用" hidden="1">{#N/A,#N/A,TRUE,"LOADCOVE";#N/A,#N/A,TRUE,"PAGE001";#N/A,#N/A,TRUE,"PAGE002";#N/A,#N/A,TRUE,"PAGE003";#N/A,#N/A,TRUE,"PAGE004";#N/A,#N/A,TRUE,"PAGE005";#N/A,#N/A,TRUE,"PAGE006";#N/A,#N/A,TRUE,"PAGE007";#N/A,#N/A,TRUE,"PAGE008";#N/A,#N/A,TRUE,"PAGE009";#N/A,#N/A,TRUE,"PAGE010";#N/A,#N/A,TRUE,"PAGE011";#N/A,#N/A,TRUE,"PAGE012";#N/A,#N/A,TRUE,"PAGE013"}</definedName>
    <definedName name="财务费用计划" hidden="1">{#N/A,#N/A,TRUE,"LOADCOVE";#N/A,#N/A,TRUE,"PAGE001";#N/A,#N/A,TRUE,"PAGE002";#N/A,#N/A,TRUE,"PAGE003";#N/A,#N/A,TRUE,"PAGE004";#N/A,#N/A,TRUE,"PAGE005";#N/A,#N/A,TRUE,"PAGE006";#N/A,#N/A,TRUE,"PAGE007";#N/A,#N/A,TRUE,"PAGE008";#N/A,#N/A,TRUE,"PAGE009";#N/A,#N/A,TRUE,"PAGE010";#N/A,#N/A,TRUE,"PAGE011";#N/A,#N/A,TRUE,"PAGE012";#N/A,#N/A,TRUE,"PAGE013"}</definedName>
  </definedNames>
  <calcPr calcId="191028"/>
  <pivotCaches>
    <pivotCache cacheId="16"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7" i="15" l="1"/>
  <c r="A2" i="16"/>
  <c r="A3" i="16"/>
  <c r="A4"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G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83" i="27"/>
  <c r="G84" i="27"/>
  <c r="G85" i="27"/>
  <c r="G86" i="27"/>
  <c r="G87" i="27"/>
  <c r="G88" i="27"/>
  <c r="G89" i="27"/>
  <c r="G90" i="27"/>
  <c r="G91" i="27"/>
  <c r="G92" i="27"/>
  <c r="G93" i="27"/>
  <c r="G94" i="27"/>
  <c r="G95" i="27"/>
  <c r="G96" i="27"/>
  <c r="G97" i="27"/>
  <c r="G98" i="27"/>
  <c r="G99" i="27"/>
  <c r="G100" i="27"/>
  <c r="G101" i="27"/>
  <c r="K4" i="8"/>
  <c r="Q137" i="15"/>
  <c r="P137" i="15"/>
  <c r="Q136" i="15"/>
  <c r="P136" i="15"/>
  <c r="Q135" i="15"/>
  <c r="P135" i="15"/>
  <c r="Q134" i="15"/>
  <c r="P134" i="15"/>
  <c r="Q133" i="15"/>
  <c r="P133" i="15"/>
  <c r="Q132" i="15"/>
  <c r="P132" i="15"/>
  <c r="Q131" i="15"/>
  <c r="P131" i="15"/>
  <c r="Q130" i="15"/>
  <c r="P130" i="15"/>
  <c r="Q129" i="15"/>
  <c r="P129" i="15"/>
  <c r="Q128" i="15"/>
  <c r="P128" i="15"/>
  <c r="Q127" i="15"/>
  <c r="P127" i="15"/>
  <c r="Q126" i="15"/>
  <c r="P126" i="15"/>
  <c r="Q125" i="15"/>
  <c r="P125" i="15"/>
  <c r="Q124" i="15"/>
  <c r="P124" i="15"/>
  <c r="Q123" i="15"/>
  <c r="P123" i="15"/>
  <c r="Q122" i="15"/>
  <c r="P122" i="15"/>
  <c r="Q121" i="15"/>
  <c r="P121" i="15"/>
  <c r="Q120" i="15"/>
  <c r="P120" i="15"/>
  <c r="Q119" i="15"/>
  <c r="P119" i="15"/>
  <c r="Q118" i="15"/>
  <c r="P118" i="15"/>
  <c r="Q117" i="15"/>
  <c r="P117" i="15"/>
  <c r="Q116" i="15"/>
  <c r="P116" i="15"/>
  <c r="Q115" i="15"/>
  <c r="P115" i="15"/>
  <c r="Q114" i="15"/>
  <c r="P114" i="15"/>
  <c r="Q113" i="15"/>
  <c r="P113" i="15"/>
  <c r="Q112" i="15"/>
  <c r="P112" i="15"/>
  <c r="Q111" i="15"/>
  <c r="P111" i="15"/>
  <c r="Q110" i="15"/>
  <c r="P110" i="15"/>
  <c r="Q109" i="15"/>
  <c r="P109" i="15"/>
  <c r="Q108" i="15"/>
  <c r="P108" i="15"/>
  <c r="Q107" i="15"/>
  <c r="P107" i="15"/>
  <c r="Q106" i="15"/>
  <c r="P106" i="15"/>
  <c r="Q105" i="15"/>
  <c r="P105" i="15"/>
  <c r="Q104" i="15"/>
  <c r="P104" i="15"/>
  <c r="Q103" i="15"/>
  <c r="P103" i="15"/>
  <c r="Q102" i="15"/>
  <c r="P102" i="15"/>
  <c r="Q101" i="15"/>
  <c r="P101" i="15"/>
  <c r="Q100" i="15"/>
  <c r="P100" i="15"/>
  <c r="Q99" i="15"/>
  <c r="P99" i="15"/>
  <c r="Q98" i="15"/>
  <c r="P98" i="15"/>
  <c r="Q97" i="15"/>
  <c r="P97" i="15"/>
  <c r="Q96" i="15"/>
  <c r="P96" i="15"/>
  <c r="Q95" i="15"/>
  <c r="P95" i="15"/>
  <c r="Q94" i="15"/>
  <c r="P94" i="15"/>
  <c r="Q93" i="15"/>
  <c r="P93" i="15"/>
  <c r="Q92" i="15"/>
  <c r="P92" i="15"/>
  <c r="Q91" i="15"/>
  <c r="P91" i="15"/>
  <c r="Q90" i="15"/>
  <c r="P90" i="15"/>
  <c r="Q89" i="15"/>
  <c r="P89" i="15"/>
  <c r="Q88" i="15"/>
  <c r="P88" i="15"/>
  <c r="Q87" i="15"/>
  <c r="P87" i="15"/>
  <c r="Q86" i="15"/>
  <c r="P86" i="15"/>
  <c r="Q85" i="15"/>
  <c r="P85" i="15"/>
  <c r="Q84" i="15"/>
  <c r="P84" i="15"/>
  <c r="Q83" i="15"/>
  <c r="P83" i="15"/>
  <c r="Q82" i="15"/>
  <c r="P82" i="15"/>
  <c r="Q81" i="15"/>
  <c r="P81" i="15"/>
  <c r="Q80" i="15"/>
  <c r="P80" i="15"/>
  <c r="Q79" i="15"/>
  <c r="P79" i="15"/>
  <c r="Q78" i="15"/>
  <c r="P78" i="15"/>
  <c r="Q77" i="15"/>
  <c r="P77" i="15"/>
  <c r="Q76" i="15"/>
  <c r="P76" i="15"/>
  <c r="Q75" i="15"/>
  <c r="P75" i="15"/>
  <c r="Q74" i="15"/>
  <c r="P74" i="15"/>
  <c r="Q73" i="15"/>
  <c r="P73" i="15"/>
  <c r="Q72" i="15"/>
  <c r="P72" i="15"/>
  <c r="Q71" i="15"/>
  <c r="P71" i="15"/>
  <c r="Q70" i="15"/>
  <c r="P70" i="15"/>
  <c r="Q69" i="15"/>
  <c r="P69" i="15"/>
  <c r="Q68" i="15"/>
  <c r="P68" i="15"/>
  <c r="Q67" i="15"/>
  <c r="P67" i="15"/>
  <c r="Q66" i="15"/>
  <c r="P66" i="15"/>
  <c r="Q65" i="15"/>
  <c r="P65" i="15"/>
  <c r="Q64" i="15"/>
  <c r="P64" i="15"/>
  <c r="Q63" i="15"/>
  <c r="P63" i="15"/>
  <c r="Q62" i="15"/>
  <c r="P62" i="15"/>
  <c r="Q61" i="15"/>
  <c r="P61" i="15"/>
  <c r="Q60" i="15"/>
  <c r="P60" i="15"/>
  <c r="Q59" i="15"/>
  <c r="P59" i="15"/>
  <c r="Q58" i="15"/>
  <c r="P58" i="15"/>
  <c r="Q57" i="15"/>
  <c r="P57" i="15"/>
  <c r="Q56" i="15"/>
  <c r="P56" i="15"/>
  <c r="Q55" i="15"/>
  <c r="P55" i="15"/>
  <c r="Q54" i="15"/>
  <c r="P54" i="15"/>
  <c r="Q53" i="15"/>
  <c r="P53" i="15"/>
  <c r="Q52" i="15"/>
  <c r="P52" i="15"/>
  <c r="Q51" i="15"/>
  <c r="P51" i="15"/>
  <c r="Q50" i="15"/>
  <c r="P50" i="15"/>
  <c r="Q49" i="15"/>
  <c r="P49" i="15"/>
  <c r="Q48" i="15"/>
  <c r="P48" i="15"/>
  <c r="Q47" i="15"/>
  <c r="P47" i="15"/>
  <c r="Q46" i="15"/>
  <c r="P46" i="15"/>
  <c r="Q45" i="15"/>
  <c r="P45" i="15"/>
  <c r="Q44" i="15"/>
  <c r="P44" i="15"/>
  <c r="Q43" i="15"/>
  <c r="P43" i="15"/>
  <c r="Q42" i="15"/>
  <c r="P42" i="15"/>
  <c r="Q41" i="15"/>
  <c r="P41" i="15"/>
  <c r="Q40" i="15"/>
  <c r="P40" i="15"/>
  <c r="Q39" i="15"/>
  <c r="P39" i="15"/>
  <c r="Q38" i="15"/>
  <c r="P38" i="15"/>
  <c r="Q37" i="15"/>
  <c r="P37" i="15"/>
  <c r="Q36" i="15"/>
  <c r="P36" i="15"/>
  <c r="Q35" i="15"/>
  <c r="P35" i="15"/>
  <c r="Q34" i="15"/>
  <c r="P34" i="15"/>
  <c r="Q33" i="15"/>
  <c r="P33" i="15"/>
  <c r="Q32" i="15"/>
  <c r="P32" i="15"/>
  <c r="Q31" i="15"/>
  <c r="P31" i="15"/>
  <c r="Q30" i="15"/>
  <c r="P30" i="15"/>
  <c r="Q29" i="15"/>
  <c r="P29" i="15"/>
  <c r="Q28" i="15"/>
  <c r="P28" i="15"/>
  <c r="Q27" i="15"/>
  <c r="P27" i="15"/>
  <c r="Q26" i="15"/>
  <c r="P26" i="15"/>
  <c r="Q25" i="15"/>
  <c r="P25" i="15"/>
  <c r="Q24" i="15"/>
  <c r="P24" i="15"/>
  <c r="Q23" i="15"/>
  <c r="P23" i="15"/>
  <c r="Q22" i="15"/>
  <c r="P22" i="15"/>
  <c r="Q21" i="15"/>
  <c r="P21" i="15"/>
  <c r="Q20" i="15"/>
  <c r="P20" i="15"/>
  <c r="Q19" i="15"/>
  <c r="P19" i="15"/>
  <c r="Q18" i="15"/>
  <c r="P18" i="15"/>
  <c r="Q17" i="15"/>
  <c r="P17" i="15"/>
  <c r="Q16" i="15"/>
  <c r="P16" i="15"/>
  <c r="Q15" i="15"/>
  <c r="P15" i="15"/>
  <c r="Q14" i="15"/>
  <c r="P14" i="15"/>
  <c r="Q13" i="15"/>
  <c r="P13" i="15"/>
  <c r="Q12" i="15"/>
  <c r="P12" i="15"/>
  <c r="Q11" i="15"/>
  <c r="P11" i="15"/>
  <c r="Q10" i="15"/>
  <c r="P10" i="15"/>
  <c r="Q9" i="15"/>
  <c r="P9" i="15"/>
  <c r="Q8" i="15"/>
  <c r="P8" i="15"/>
  <c r="Q7" i="15"/>
  <c r="P7" i="15"/>
  <c r="Q6" i="15"/>
  <c r="P6" i="15"/>
  <c r="Q5" i="15"/>
  <c r="P5" i="15"/>
  <c r="Q4" i="15"/>
  <c r="P4" i="15"/>
  <c r="R137" i="15" a="1"/>
  <c r="R137" i="15" s="1"/>
  <c r="R136" i="15" a="1"/>
  <c r="R136" i="15" s="1"/>
  <c r="R135" i="15" a="1"/>
  <c r="R135" i="15" s="1"/>
  <c r="R134" i="15" a="1"/>
  <c r="R134" i="15" s="1"/>
  <c r="R133" i="15" a="1"/>
  <c r="R133" i="15" s="1"/>
  <c r="R132" i="15" a="1"/>
  <c r="R132" i="15" s="1"/>
  <c r="R131" i="15" a="1"/>
  <c r="R131" i="15" s="1"/>
  <c r="R130" i="15" a="1"/>
  <c r="R130" i="15" s="1"/>
  <c r="R129" i="15" a="1"/>
  <c r="R129" i="15" s="1"/>
  <c r="R128" i="15" a="1"/>
  <c r="R128" i="15" s="1"/>
  <c r="R127" i="15" a="1"/>
  <c r="R127" i="15" s="1"/>
  <c r="R126" i="15" a="1"/>
  <c r="R126" i="15" s="1"/>
  <c r="R125" i="15" a="1"/>
  <c r="R125" i="15" s="1"/>
  <c r="R124" i="15" a="1"/>
  <c r="R124" i="15" s="1"/>
  <c r="R123" i="15" a="1"/>
  <c r="R123" i="15" s="1"/>
  <c r="R122" i="15" a="1"/>
  <c r="R122" i="15" s="1"/>
  <c r="R121" i="15" a="1"/>
  <c r="R121" i="15" s="1"/>
  <c r="R120" i="15" a="1"/>
  <c r="R120" i="15" s="1"/>
  <c r="R119" i="15" a="1"/>
  <c r="R119" i="15" s="1"/>
  <c r="R118" i="15" a="1"/>
  <c r="R118" i="15" s="1"/>
  <c r="R117" i="15" a="1"/>
  <c r="R117" i="15" s="1"/>
  <c r="R116" i="15" a="1"/>
  <c r="R116" i="15" s="1"/>
  <c r="R115" i="15" a="1"/>
  <c r="R115" i="15" s="1"/>
  <c r="R114" i="15" a="1"/>
  <c r="R114" i="15" s="1"/>
  <c r="R113" i="15" a="1"/>
  <c r="R113" i="15" s="1"/>
  <c r="R112" i="15" a="1"/>
  <c r="R112" i="15" s="1"/>
  <c r="R111" i="15" a="1"/>
  <c r="R111" i="15" s="1"/>
  <c r="R110" i="15" a="1"/>
  <c r="R110" i="15" s="1"/>
  <c r="R109" i="15" a="1"/>
  <c r="R109" i="15" s="1"/>
  <c r="R108" i="15" a="1"/>
  <c r="R108" i="15" s="1"/>
  <c r="R107" i="15" a="1"/>
  <c r="R107" i="15" s="1"/>
  <c r="R106" i="15" a="1"/>
  <c r="R106" i="15" s="1"/>
  <c r="R105" i="15" a="1"/>
  <c r="R105" i="15" s="1"/>
  <c r="R104" i="15" a="1"/>
  <c r="R104" i="15" s="1"/>
  <c r="R103" i="15" a="1"/>
  <c r="R103" i="15" s="1"/>
  <c r="R102" i="15" a="1"/>
  <c r="R102" i="15" s="1"/>
  <c r="R101" i="15" a="1"/>
  <c r="R101" i="15" s="1"/>
  <c r="R100" i="15" a="1"/>
  <c r="R100" i="15" s="1"/>
  <c r="R99" i="15" a="1"/>
  <c r="R99" i="15" s="1"/>
  <c r="R98" i="15" a="1"/>
  <c r="R98" i="15" s="1"/>
  <c r="R97" i="15" a="1"/>
  <c r="R97" i="15" s="1"/>
  <c r="R96" i="15" a="1"/>
  <c r="R96" i="15" s="1"/>
  <c r="R95" i="15" a="1"/>
  <c r="R95" i="15" s="1"/>
  <c r="R94" i="15" a="1"/>
  <c r="R94" i="15" s="1"/>
  <c r="R93" i="15" a="1"/>
  <c r="R93" i="15" s="1"/>
  <c r="R92" i="15" a="1"/>
  <c r="R92" i="15" s="1"/>
  <c r="R91" i="15" a="1"/>
  <c r="R91" i="15" s="1"/>
  <c r="R90" i="15" a="1"/>
  <c r="R90" i="15" s="1"/>
  <c r="R89" i="15" a="1"/>
  <c r="R89" i="15" s="1"/>
  <c r="R88" i="15" a="1"/>
  <c r="R88" i="15" s="1"/>
  <c r="R87" i="15" a="1"/>
  <c r="R87" i="15" s="1"/>
  <c r="R86" i="15" a="1"/>
  <c r="R86" i="15" s="1"/>
  <c r="R85" i="15" a="1"/>
  <c r="R85" i="15" s="1"/>
  <c r="R84" i="15" a="1"/>
  <c r="R84" i="15" s="1"/>
  <c r="R83" i="15" a="1"/>
  <c r="R83" i="15" s="1"/>
  <c r="R82" i="15" a="1"/>
  <c r="R82" i="15" s="1"/>
  <c r="R81" i="15" a="1"/>
  <c r="R81" i="15" s="1"/>
  <c r="R80" i="15" a="1"/>
  <c r="R80" i="15" s="1"/>
  <c r="R79" i="15" a="1"/>
  <c r="R79" i="15" s="1"/>
  <c r="R78" i="15" a="1"/>
  <c r="R78" i="15" s="1"/>
  <c r="R77" i="15" a="1"/>
  <c r="R77" i="15" s="1"/>
  <c r="R76" i="15" a="1"/>
  <c r="R76" i="15" s="1"/>
  <c r="R75" i="15" a="1"/>
  <c r="R75" i="15" s="1"/>
  <c r="R74" i="15" a="1"/>
  <c r="R74" i="15" s="1"/>
  <c r="R73" i="15" a="1"/>
  <c r="R73" i="15" s="1"/>
  <c r="R72" i="15" a="1"/>
  <c r="R72" i="15" s="1"/>
  <c r="R71" i="15" a="1"/>
  <c r="R71" i="15" s="1"/>
  <c r="R70" i="15" a="1"/>
  <c r="R70" i="15" s="1"/>
  <c r="R69" i="15" a="1"/>
  <c r="R69" i="15" s="1"/>
  <c r="R68" i="15" a="1"/>
  <c r="R68" i="15" s="1"/>
  <c r="R67" i="15" a="1"/>
  <c r="R67" i="15" s="1"/>
  <c r="R66" i="15" a="1"/>
  <c r="R66" i="15" s="1"/>
  <c r="R65" i="15" a="1"/>
  <c r="R65" i="15" s="1"/>
  <c r="R64" i="15" a="1"/>
  <c r="R64" i="15" s="1"/>
  <c r="R63" i="15" a="1"/>
  <c r="R63" i="15" s="1"/>
  <c r="R62" i="15" a="1"/>
  <c r="R62" i="15" s="1"/>
  <c r="R61" i="15" a="1"/>
  <c r="R61" i="15" s="1"/>
  <c r="R60" i="15" a="1"/>
  <c r="R60" i="15" s="1"/>
  <c r="R59" i="15" a="1"/>
  <c r="R59" i="15" s="1"/>
  <c r="R58" i="15" a="1"/>
  <c r="R58" i="15" s="1"/>
  <c r="R57" i="15" a="1"/>
  <c r="R57" i="15" s="1"/>
  <c r="R56" i="15" a="1"/>
  <c r="R56" i="15" s="1"/>
  <c r="R55" i="15" a="1"/>
  <c r="R55" i="15" s="1"/>
  <c r="R54" i="15" a="1"/>
  <c r="R54" i="15" s="1"/>
  <c r="R53" i="15" a="1"/>
  <c r="R53" i="15" s="1"/>
  <c r="R52" i="15" a="1"/>
  <c r="R52" i="15" s="1"/>
  <c r="R51" i="15" a="1"/>
  <c r="R51" i="15" s="1"/>
  <c r="R50" i="15" a="1"/>
  <c r="R50" i="15" s="1"/>
  <c r="R49" i="15" a="1"/>
  <c r="R49" i="15" s="1"/>
  <c r="R48" i="15" a="1"/>
  <c r="R48" i="15" s="1"/>
  <c r="R47" i="15" a="1"/>
  <c r="R47" i="15" s="1"/>
  <c r="R46" i="15" a="1"/>
  <c r="R46" i="15" s="1"/>
  <c r="R45" i="15" a="1"/>
  <c r="R45" i="15" s="1"/>
  <c r="R44" i="15" a="1"/>
  <c r="R44" i="15" s="1"/>
  <c r="R43" i="15" a="1"/>
  <c r="R43" i="15" s="1"/>
  <c r="R42" i="15" a="1"/>
  <c r="R42" i="15" s="1"/>
  <c r="R41" i="15" a="1"/>
  <c r="R41" i="15" s="1"/>
  <c r="R40" i="15" a="1"/>
  <c r="R40" i="15" s="1"/>
  <c r="R39" i="15" a="1"/>
  <c r="R39" i="15" s="1"/>
  <c r="R38" i="15" a="1"/>
  <c r="R38" i="15" s="1"/>
  <c r="R37" i="15" a="1"/>
  <c r="R37" i="15" s="1"/>
  <c r="R36" i="15" a="1"/>
  <c r="R36" i="15" s="1"/>
  <c r="R35" i="15" a="1"/>
  <c r="R35" i="15" s="1"/>
  <c r="R34" i="15" a="1"/>
  <c r="R34" i="15" s="1"/>
  <c r="R33" i="15" a="1"/>
  <c r="R33" i="15" s="1"/>
  <c r="R32" i="15" a="1"/>
  <c r="R32" i="15" s="1"/>
  <c r="R31" i="15" a="1"/>
  <c r="R31" i="15" s="1"/>
  <c r="R30" i="15" a="1"/>
  <c r="R30" i="15" s="1"/>
  <c r="R29" i="15" a="1"/>
  <c r="R29" i="15" s="1"/>
  <c r="R28" i="15" a="1"/>
  <c r="R28" i="15" s="1"/>
  <c r="R27" i="15" a="1"/>
  <c r="R27" i="15" s="1"/>
  <c r="R26" i="15" a="1"/>
  <c r="R26" i="15" s="1"/>
  <c r="R25" i="15" a="1"/>
  <c r="R25" i="15" s="1"/>
  <c r="R24" i="15" a="1"/>
  <c r="R24" i="15" s="1"/>
  <c r="R23" i="15" a="1"/>
  <c r="R23" i="15" s="1"/>
  <c r="R22" i="15" a="1"/>
  <c r="R22" i="15" s="1"/>
  <c r="R21" i="15" a="1"/>
  <c r="R21" i="15" s="1"/>
  <c r="R20" i="15" a="1"/>
  <c r="R20" i="15" s="1"/>
  <c r="R19" i="15" a="1"/>
  <c r="R19" i="15" s="1"/>
  <c r="R18" i="15" a="1"/>
  <c r="R18" i="15" s="1"/>
  <c r="R17" i="15" a="1"/>
  <c r="R17" i="15" s="1"/>
  <c r="R16" i="15" a="1"/>
  <c r="R16" i="15" s="1"/>
  <c r="R15" i="15" a="1"/>
  <c r="R15" i="15" s="1"/>
  <c r="R14" i="15" a="1"/>
  <c r="R14" i="15" s="1"/>
  <c r="R13" i="15" a="1"/>
  <c r="R13" i="15" s="1"/>
  <c r="R12" i="15" a="1"/>
  <c r="R12" i="15" s="1"/>
  <c r="R11" i="15" a="1"/>
  <c r="R11" i="15" s="1"/>
  <c r="R10" i="15" a="1"/>
  <c r="R10" i="15" s="1"/>
  <c r="R9" i="15" a="1"/>
  <c r="R9" i="15" s="1"/>
  <c r="R8" i="15" a="1"/>
  <c r="R8" i="15" s="1"/>
  <c r="R7" i="15" a="1"/>
  <c r="R7" i="15" s="1"/>
  <c r="R6" i="15" a="1"/>
  <c r="R6" i="15" s="1"/>
  <c r="R5" i="15" a="1"/>
  <c r="R5" i="15" s="1"/>
  <c r="R4" i="15" a="1"/>
  <c r="R4" i="15" s="1"/>
  <c r="T137" i="15"/>
  <c r="T136" i="15"/>
  <c r="T135" i="15"/>
  <c r="T134" i="15"/>
  <c r="T133" i="15"/>
  <c r="T132" i="15"/>
  <c r="T131" i="15"/>
  <c r="T130" i="15"/>
  <c r="T129" i="15"/>
  <c r="T128" i="15"/>
  <c r="T127" i="15"/>
  <c r="T126" i="15"/>
  <c r="T125" i="15"/>
  <c r="T124" i="15"/>
  <c r="T123" i="15"/>
  <c r="T122" i="15"/>
  <c r="T121" i="15"/>
  <c r="T120" i="15"/>
  <c r="T119" i="15"/>
  <c r="T118" i="15"/>
  <c r="T117" i="15"/>
  <c r="T116" i="15"/>
  <c r="T115" i="15"/>
  <c r="T114" i="15"/>
  <c r="T113" i="15"/>
  <c r="T112" i="15"/>
  <c r="T111" i="15"/>
  <c r="T110" i="15"/>
  <c r="T109" i="15"/>
  <c r="T108" i="15"/>
  <c r="T107" i="15"/>
  <c r="T106" i="15"/>
  <c r="T105" i="15"/>
  <c r="T104" i="15"/>
  <c r="T103" i="15"/>
  <c r="T102" i="15"/>
  <c r="T101" i="15"/>
  <c r="T100" i="15"/>
  <c r="T99" i="15"/>
  <c r="T98" i="15"/>
  <c r="T97" i="15"/>
  <c r="T96" i="15"/>
  <c r="T95" i="15"/>
  <c r="T94" i="15"/>
  <c r="T93" i="15"/>
  <c r="T92" i="15"/>
  <c r="T91" i="15"/>
  <c r="T90" i="15"/>
  <c r="T89" i="15"/>
  <c r="T88" i="15"/>
  <c r="T87" i="15"/>
  <c r="T86" i="15"/>
  <c r="T85" i="15"/>
  <c r="T84" i="15"/>
  <c r="T83" i="15"/>
  <c r="T82" i="15"/>
  <c r="T81" i="15"/>
  <c r="T80" i="15"/>
  <c r="T79" i="15"/>
  <c r="T78" i="15"/>
  <c r="T77" i="15"/>
  <c r="T76" i="15"/>
  <c r="T75" i="15"/>
  <c r="T74" i="15"/>
  <c r="T73" i="15"/>
  <c r="T72" i="15"/>
  <c r="T71" i="15"/>
  <c r="T70" i="15"/>
  <c r="T69" i="15"/>
  <c r="T68" i="15"/>
  <c r="T67" i="15"/>
  <c r="T66" i="15"/>
  <c r="T65" i="15"/>
  <c r="T64" i="15"/>
  <c r="T63" i="15"/>
  <c r="T62" i="15"/>
  <c r="T61" i="15"/>
  <c r="T60" i="15"/>
  <c r="T59" i="15"/>
  <c r="T58" i="15"/>
  <c r="T57" i="15"/>
  <c r="T56" i="15"/>
  <c r="T55" i="15"/>
  <c r="T54" i="15"/>
  <c r="T53" i="15"/>
  <c r="T52" i="15"/>
  <c r="T51" i="15"/>
  <c r="T50" i="15"/>
  <c r="T49" i="15"/>
  <c r="T48" i="15"/>
  <c r="T47" i="15"/>
  <c r="T46" i="15"/>
  <c r="T45" i="15"/>
  <c r="T44" i="15"/>
  <c r="T43" i="15"/>
  <c r="T42" i="15"/>
  <c r="T41" i="15"/>
  <c r="T40" i="15"/>
  <c r="T39" i="15"/>
  <c r="T38" i="15"/>
  <c r="T37" i="15"/>
  <c r="T36" i="15"/>
  <c r="T35" i="15"/>
  <c r="T34" i="15"/>
  <c r="T33" i="15"/>
  <c r="T32" i="15"/>
  <c r="T31" i="15"/>
  <c r="T30" i="15"/>
  <c r="T29" i="15"/>
  <c r="T28" i="15"/>
  <c r="T27" i="15"/>
  <c r="T26" i="15"/>
  <c r="T25" i="15"/>
  <c r="T24" i="15"/>
  <c r="T23" i="15"/>
  <c r="T22" i="15"/>
  <c r="T21" i="15"/>
  <c r="T20" i="15"/>
  <c r="T19" i="15"/>
  <c r="T18" i="15"/>
  <c r="T17" i="15"/>
  <c r="T16" i="15"/>
  <c r="T15" i="15"/>
  <c r="T14" i="15"/>
  <c r="T13" i="15"/>
  <c r="T12" i="15"/>
  <c r="T11" i="15"/>
  <c r="T10" i="15"/>
  <c r="T9" i="15"/>
  <c r="T8" i="15"/>
  <c r="T7" i="15"/>
  <c r="T6" i="15"/>
  <c r="T5" i="15"/>
  <c r="T4" i="15"/>
  <c r="K161" i="23"/>
  <c r="K160" i="23"/>
  <c r="K159" i="23"/>
  <c r="K158" i="23"/>
  <c r="K157" i="23"/>
  <c r="K156" i="23"/>
  <c r="K155" i="23"/>
  <c r="K154" i="23"/>
  <c r="K153" i="23"/>
  <c r="K152" i="23"/>
  <c r="K151" i="23"/>
  <c r="K150" i="23"/>
  <c r="K149" i="23"/>
  <c r="K148" i="23"/>
  <c r="K147" i="23"/>
  <c r="K146" i="23"/>
  <c r="K145" i="23"/>
  <c r="K144" i="23"/>
  <c r="K143" i="23"/>
  <c r="K142" i="23"/>
  <c r="K141" i="23"/>
  <c r="K140" i="23"/>
  <c r="K139" i="23"/>
  <c r="K138" i="23"/>
  <c r="K137" i="23"/>
  <c r="K136" i="23"/>
  <c r="K135" i="23"/>
  <c r="K134" i="23"/>
  <c r="K133" i="23"/>
  <c r="K132" i="23"/>
  <c r="K131" i="23"/>
  <c r="K130" i="23"/>
  <c r="K129" i="23"/>
  <c r="K128" i="23"/>
  <c r="K127" i="23"/>
  <c r="K126" i="23"/>
  <c r="K125" i="23"/>
  <c r="K124" i="23"/>
  <c r="K123" i="23"/>
  <c r="K122" i="23"/>
  <c r="K121" i="23"/>
  <c r="K120" i="23"/>
  <c r="K119" i="23"/>
  <c r="K118" i="23"/>
  <c r="K117" i="23"/>
  <c r="K116" i="23"/>
  <c r="K115" i="23"/>
  <c r="K114" i="23"/>
  <c r="K113" i="23"/>
  <c r="K112" i="23"/>
  <c r="K111" i="23"/>
  <c r="K110" i="23"/>
  <c r="K109" i="23"/>
  <c r="K108" i="23"/>
  <c r="K107" i="23"/>
  <c r="K106" i="23"/>
  <c r="K105" i="23"/>
  <c r="K104" i="23"/>
  <c r="K103" i="23"/>
  <c r="K102" i="23"/>
  <c r="K101" i="23"/>
  <c r="K100" i="23"/>
  <c r="K99" i="23"/>
  <c r="K98" i="23"/>
  <c r="K97" i="23"/>
  <c r="K96" i="23"/>
  <c r="K95" i="23"/>
  <c r="K94" i="23"/>
  <c r="K93" i="23"/>
  <c r="K92" i="23"/>
  <c r="K91" i="23"/>
  <c r="K90" i="23"/>
  <c r="K89" i="23"/>
  <c r="K88" i="23"/>
  <c r="K87" i="23"/>
  <c r="K86" i="23"/>
  <c r="K85" i="23"/>
  <c r="K84" i="23"/>
  <c r="K83" i="23"/>
  <c r="K82" i="23"/>
  <c r="K81" i="23"/>
  <c r="K80" i="23"/>
  <c r="K79" i="23"/>
  <c r="K78" i="23"/>
  <c r="K77" i="23"/>
  <c r="K76" i="23"/>
  <c r="K75" i="23"/>
  <c r="K74" i="23"/>
  <c r="K73" i="23"/>
  <c r="K72" i="23"/>
  <c r="K71" i="23"/>
  <c r="K70" i="23"/>
  <c r="K69" i="23"/>
  <c r="K68" i="23"/>
  <c r="K67" i="23"/>
  <c r="K66" i="23"/>
  <c r="K65" i="23"/>
  <c r="K64" i="23"/>
  <c r="K63" i="23"/>
  <c r="K62" i="23"/>
  <c r="K61" i="23"/>
  <c r="K60" i="23"/>
  <c r="K59" i="23"/>
  <c r="K58" i="23"/>
  <c r="K57" i="23"/>
  <c r="K56" i="23"/>
  <c r="K55" i="23"/>
  <c r="K54" i="23"/>
  <c r="K53" i="23"/>
  <c r="K52" i="23"/>
  <c r="K51" i="23"/>
  <c r="K50" i="23"/>
  <c r="K49" i="23"/>
  <c r="K48" i="23"/>
  <c r="K47" i="23"/>
  <c r="K46" i="23"/>
  <c r="K45" i="23"/>
  <c r="K44" i="23"/>
  <c r="K43" i="23"/>
  <c r="K42" i="23"/>
  <c r="K41" i="23"/>
  <c r="K40" i="23"/>
  <c r="K39" i="23"/>
  <c r="K38" i="23"/>
  <c r="K37" i="23"/>
  <c r="K36" i="23"/>
  <c r="K35" i="23"/>
  <c r="K34" i="23"/>
  <c r="K33" i="23"/>
  <c r="K32" i="23"/>
  <c r="K31" i="23"/>
  <c r="K30" i="23"/>
  <c r="K29" i="23"/>
  <c r="K28" i="23"/>
  <c r="K27" i="23"/>
  <c r="K26" i="23"/>
  <c r="K25" i="23"/>
  <c r="K24" i="23"/>
  <c r="K23" i="23"/>
  <c r="K22" i="23"/>
  <c r="K21" i="23"/>
  <c r="K20" i="23"/>
  <c r="K19" i="23"/>
  <c r="K18" i="23"/>
  <c r="K17" i="23"/>
  <c r="K16" i="23"/>
  <c r="K15" i="23"/>
  <c r="K14" i="23"/>
  <c r="K13" i="23"/>
  <c r="K12" i="23"/>
  <c r="K11" i="23"/>
  <c r="K10" i="23"/>
  <c r="K9" i="23"/>
  <c r="K8" i="23"/>
  <c r="K7" i="23"/>
  <c r="K6" i="23"/>
  <c r="K5" i="23"/>
  <c r="K4" i="23"/>
  <c r="K3" i="23"/>
  <c r="K2" i="23"/>
  <c r="K15" i="8"/>
  <c r="I65" i="23"/>
  <c r="I15" i="23"/>
  <c r="I7" i="23"/>
  <c r="I97" i="23"/>
  <c r="I119" i="23"/>
  <c r="I111" i="23"/>
  <c r="I8" i="23"/>
  <c r="I24" i="23"/>
  <c r="I31" i="23"/>
  <c r="I41" i="23"/>
  <c r="I40" i="23"/>
  <c r="I39" i="23"/>
  <c r="I5" i="23"/>
  <c r="I12" i="23"/>
  <c r="I13" i="23"/>
  <c r="I16" i="23"/>
  <c r="I17" i="23"/>
  <c r="I18" i="23"/>
  <c r="I21" i="23"/>
  <c r="I23" i="23"/>
  <c r="I28" i="23"/>
  <c r="I29" i="23"/>
  <c r="I34" i="23"/>
  <c r="I36" i="23"/>
  <c r="I37" i="23"/>
  <c r="I43" i="23"/>
  <c r="I45" i="23"/>
  <c r="I47" i="23"/>
  <c r="I52" i="23"/>
  <c r="I53" i="23"/>
  <c r="I54" i="23"/>
  <c r="I59" i="23"/>
  <c r="I60" i="23"/>
  <c r="I61" i="23"/>
  <c r="I69" i="23"/>
  <c r="I71" i="23"/>
  <c r="I72" i="23"/>
  <c r="I73" i="23"/>
  <c r="I77" i="23"/>
  <c r="I79" i="23"/>
  <c r="I80" i="23"/>
  <c r="I83" i="23"/>
  <c r="I85" i="23"/>
  <c r="I86" i="23"/>
  <c r="I87" i="23"/>
  <c r="I88" i="23"/>
  <c r="I89" i="23"/>
  <c r="I92" i="23"/>
  <c r="I93" i="23"/>
  <c r="I98" i="23"/>
  <c r="I99" i="23"/>
  <c r="I101" i="23"/>
  <c r="I102" i="23"/>
  <c r="I103" i="23"/>
  <c r="I105" i="23"/>
  <c r="I106" i="23"/>
  <c r="I109" i="23"/>
  <c r="I110" i="23"/>
  <c r="I112" i="23"/>
  <c r="I113" i="23"/>
  <c r="I114" i="23"/>
  <c r="I117" i="23"/>
  <c r="I118" i="23"/>
  <c r="I120" i="23"/>
  <c r="I123" i="23"/>
  <c r="I124" i="23"/>
  <c r="I125" i="23"/>
  <c r="I126" i="23"/>
  <c r="I127" i="23"/>
  <c r="I129" i="23"/>
  <c r="I130" i="23"/>
  <c r="I132" i="23"/>
  <c r="I133" i="23"/>
  <c r="I134" i="23"/>
  <c r="I135" i="23"/>
  <c r="I136" i="23"/>
  <c r="I138" i="23"/>
  <c r="I139" i="23"/>
  <c r="I140" i="23"/>
  <c r="I141" i="23"/>
  <c r="I142" i="23"/>
  <c r="I144" i="23"/>
  <c r="I146" i="23"/>
  <c r="I149" i="23"/>
  <c r="I150" i="23"/>
  <c r="I152" i="23"/>
  <c r="I154" i="23"/>
  <c r="I157" i="23"/>
  <c r="I160" i="23"/>
  <c r="I161" i="23"/>
  <c r="I2" i="23"/>
  <c r="A5" i="16" l="1"/>
  <c r="V8" i="15" s="1"/>
  <c r="L160" i="23"/>
  <c r="L152" i="23"/>
  <c r="L144" i="23"/>
  <c r="L136" i="23"/>
  <c r="L128" i="23"/>
  <c r="L120" i="23"/>
  <c r="L112" i="23"/>
  <c r="L104" i="23"/>
  <c r="L96" i="23"/>
  <c r="L88" i="23"/>
  <c r="L80" i="23"/>
  <c r="L72" i="23"/>
  <c r="L64" i="23"/>
  <c r="L56" i="23"/>
  <c r="L48" i="23"/>
  <c r="L40" i="23"/>
  <c r="L32" i="23"/>
  <c r="L24" i="23"/>
  <c r="L16" i="23"/>
  <c r="L8" i="23"/>
  <c r="L158" i="23"/>
  <c r="L150" i="23"/>
  <c r="L134" i="23"/>
  <c r="L118" i="23"/>
  <c r="L102" i="23"/>
  <c r="L86" i="23"/>
  <c r="L70" i="23"/>
  <c r="L54" i="23"/>
  <c r="L38" i="23"/>
  <c r="L22" i="23"/>
  <c r="L6" i="23"/>
  <c r="L157" i="23"/>
  <c r="L133" i="23"/>
  <c r="L117" i="23"/>
  <c r="L101" i="23"/>
  <c r="L85" i="23"/>
  <c r="L69" i="23"/>
  <c r="L53" i="23"/>
  <c r="L37" i="23"/>
  <c r="L21" i="23"/>
  <c r="L5" i="23"/>
  <c r="L28" i="23"/>
  <c r="L12" i="23"/>
  <c r="L147" i="23"/>
  <c r="L123" i="23"/>
  <c r="L107" i="23"/>
  <c r="L99" i="23"/>
  <c r="L91" i="23"/>
  <c r="L75" i="23"/>
  <c r="L59" i="23"/>
  <c r="L43" i="23"/>
  <c r="L27" i="23"/>
  <c r="L11" i="23"/>
  <c r="L146" i="23"/>
  <c r="L130" i="23"/>
  <c r="L114" i="23"/>
  <c r="L98" i="23"/>
  <c r="L82" i="23"/>
  <c r="L66" i="23"/>
  <c r="L50" i="23"/>
  <c r="L41" i="23"/>
  <c r="L17" i="23"/>
  <c r="L159" i="23"/>
  <c r="L151" i="23"/>
  <c r="L143" i="23"/>
  <c r="L135" i="23"/>
  <c r="L127" i="23"/>
  <c r="L119" i="23"/>
  <c r="L111" i="23"/>
  <c r="L103" i="23"/>
  <c r="L95" i="23"/>
  <c r="L87" i="23"/>
  <c r="L79" i="23"/>
  <c r="L71" i="23"/>
  <c r="L63" i="23"/>
  <c r="L55" i="23"/>
  <c r="L47" i="23"/>
  <c r="L39" i="23"/>
  <c r="L31" i="23"/>
  <c r="L23" i="23"/>
  <c r="L15" i="23"/>
  <c r="L7" i="23"/>
  <c r="L142" i="23"/>
  <c r="L126" i="23"/>
  <c r="L110" i="23"/>
  <c r="L94" i="23"/>
  <c r="L78" i="23"/>
  <c r="L62" i="23"/>
  <c r="L46" i="23"/>
  <c r="L30" i="23"/>
  <c r="L14" i="23"/>
  <c r="L149" i="23"/>
  <c r="L141" i="23"/>
  <c r="L125" i="23"/>
  <c r="L109" i="23"/>
  <c r="L93" i="23"/>
  <c r="L77" i="23"/>
  <c r="L61" i="23"/>
  <c r="L45" i="23"/>
  <c r="L29" i="23"/>
  <c r="L13" i="23"/>
  <c r="L36" i="23"/>
  <c r="L20" i="23"/>
  <c r="L4" i="23"/>
  <c r="L155" i="23"/>
  <c r="L131" i="23"/>
  <c r="L115" i="23"/>
  <c r="L83" i="23"/>
  <c r="L67" i="23"/>
  <c r="L51" i="23"/>
  <c r="L35" i="23"/>
  <c r="L19" i="23"/>
  <c r="L3" i="23"/>
  <c r="L154" i="23"/>
  <c r="L138" i="23"/>
  <c r="L122" i="23"/>
  <c r="L106" i="23"/>
  <c r="L90" i="23"/>
  <c r="L74" i="23"/>
  <c r="L58" i="23"/>
  <c r="L42" i="23"/>
  <c r="L34" i="23"/>
  <c r="L26" i="23"/>
  <c r="L18" i="23"/>
  <c r="L10" i="23"/>
  <c r="L2" i="23"/>
  <c r="L153" i="23"/>
  <c r="L145" i="23"/>
  <c r="L137" i="23"/>
  <c r="L129" i="23"/>
  <c r="L121" i="23"/>
  <c r="L113" i="23"/>
  <c r="L97" i="23"/>
  <c r="L89" i="23"/>
  <c r="L81" i="23"/>
  <c r="L73" i="23"/>
  <c r="L57" i="23"/>
  <c r="L9" i="23"/>
  <c r="U6" i="15"/>
  <c r="L156" i="23"/>
  <c r="L148" i="23"/>
  <c r="L140" i="23"/>
  <c r="L132" i="23"/>
  <c r="L124" i="23"/>
  <c r="L116" i="23"/>
  <c r="L108" i="23"/>
  <c r="L100" i="23"/>
  <c r="L92" i="23"/>
  <c r="L84" i="23"/>
  <c r="L76" i="23"/>
  <c r="L68" i="23"/>
  <c r="L60" i="23"/>
  <c r="L52" i="23"/>
  <c r="L44" i="23"/>
  <c r="L139" i="23"/>
  <c r="L105" i="23"/>
  <c r="L65" i="23"/>
  <c r="L49" i="23"/>
  <c r="L33" i="23"/>
  <c r="L25" i="23"/>
  <c r="L161" i="23"/>
  <c r="I158" i="23"/>
  <c r="I94" i="23"/>
  <c r="I78" i="23"/>
  <c r="I70" i="23"/>
  <c r="I62" i="23"/>
  <c r="I46" i="23"/>
  <c r="I38" i="23"/>
  <c r="I30" i="23"/>
  <c r="I22" i="23"/>
  <c r="I14" i="23"/>
  <c r="I6" i="23"/>
  <c r="I156" i="23"/>
  <c r="I148" i="23"/>
  <c r="I116" i="23"/>
  <c r="I108" i="23"/>
  <c r="I100" i="23"/>
  <c r="I84" i="23"/>
  <c r="I76" i="23"/>
  <c r="I68" i="23"/>
  <c r="I44" i="23"/>
  <c r="I20" i="23"/>
  <c r="I4" i="23"/>
  <c r="I155" i="23"/>
  <c r="I147" i="23"/>
  <c r="I131" i="23"/>
  <c r="I115" i="23"/>
  <c r="I107" i="23"/>
  <c r="I91" i="23"/>
  <c r="I75" i="23"/>
  <c r="I67" i="23"/>
  <c r="I51" i="23"/>
  <c r="I35" i="23"/>
  <c r="I27" i="23"/>
  <c r="I19" i="23"/>
  <c r="I11" i="23"/>
  <c r="I3" i="23"/>
  <c r="I122" i="23"/>
  <c r="I90" i="23"/>
  <c r="I82" i="23"/>
  <c r="I74" i="23"/>
  <c r="I66" i="23"/>
  <c r="I58" i="23"/>
  <c r="I50" i="23"/>
  <c r="I42" i="23"/>
  <c r="I26" i="23"/>
  <c r="I10" i="23"/>
  <c r="I153" i="23"/>
  <c r="I145" i="23"/>
  <c r="I137" i="23"/>
  <c r="I121" i="23"/>
  <c r="I81" i="23"/>
  <c r="I57" i="23"/>
  <c r="I49" i="23"/>
  <c r="I33" i="23"/>
  <c r="I25" i="23"/>
  <c r="I9" i="23"/>
  <c r="I128" i="23"/>
  <c r="I104" i="23"/>
  <c r="I96" i="23"/>
  <c r="I64" i="23"/>
  <c r="I56" i="23"/>
  <c r="I48" i="23"/>
  <c r="I32" i="23"/>
  <c r="I159" i="23"/>
  <c r="I151" i="23"/>
  <c r="I143" i="23"/>
  <c r="I95" i="23"/>
  <c r="I63" i="23"/>
  <c r="I55" i="23"/>
  <c r="L133" i="15"/>
  <c r="M133" i="15" s="1"/>
  <c r="O133" i="15"/>
  <c r="U133" i="15"/>
  <c r="W133" i="15"/>
  <c r="L134" i="15"/>
  <c r="M134" i="15" s="1"/>
  <c r="O134" i="15"/>
  <c r="U134" i="15"/>
  <c r="W134" i="15"/>
  <c r="L135" i="15"/>
  <c r="M135" i="15" s="1"/>
  <c r="O135" i="15"/>
  <c r="U135" i="15"/>
  <c r="W135" i="15"/>
  <c r="L136" i="15"/>
  <c r="M136" i="15" s="1"/>
  <c r="O136" i="15"/>
  <c r="U136" i="15"/>
  <c r="W136" i="15"/>
  <c r="L137" i="15"/>
  <c r="M137" i="15" s="1"/>
  <c r="O137" i="15"/>
  <c r="U137" i="15"/>
  <c r="W137" i="15"/>
  <c r="W132" i="15"/>
  <c r="U132" i="15"/>
  <c r="W131" i="15"/>
  <c r="U131" i="15"/>
  <c r="W130" i="15"/>
  <c r="U130" i="15"/>
  <c r="W129" i="15"/>
  <c r="U129" i="15"/>
  <c r="W128" i="15"/>
  <c r="U128" i="15"/>
  <c r="W127" i="15"/>
  <c r="U127" i="15"/>
  <c r="W126" i="15"/>
  <c r="U126" i="15"/>
  <c r="W125" i="15"/>
  <c r="U125" i="15"/>
  <c r="W124" i="15"/>
  <c r="U124" i="15"/>
  <c r="W123" i="15"/>
  <c r="U123" i="15"/>
  <c r="W122" i="15"/>
  <c r="U122" i="15"/>
  <c r="W121" i="15"/>
  <c r="U121" i="15"/>
  <c r="W120" i="15"/>
  <c r="U120" i="15"/>
  <c r="W119" i="15"/>
  <c r="U119" i="15"/>
  <c r="W118" i="15"/>
  <c r="U118" i="15"/>
  <c r="W117" i="15"/>
  <c r="U117" i="15"/>
  <c r="W116" i="15"/>
  <c r="U116" i="15"/>
  <c r="W115" i="15"/>
  <c r="U115" i="15"/>
  <c r="W114" i="15"/>
  <c r="U114" i="15"/>
  <c r="W113" i="15"/>
  <c r="U113" i="15"/>
  <c r="W112" i="15"/>
  <c r="U112" i="15"/>
  <c r="W111" i="15"/>
  <c r="U111" i="15"/>
  <c r="W110" i="15"/>
  <c r="U110" i="15"/>
  <c r="W109" i="15"/>
  <c r="U109" i="15"/>
  <c r="W108" i="15"/>
  <c r="U108" i="15"/>
  <c r="W107" i="15"/>
  <c r="U107" i="15"/>
  <c r="W106" i="15"/>
  <c r="U106" i="15"/>
  <c r="W105" i="15"/>
  <c r="U105" i="15"/>
  <c r="W104" i="15"/>
  <c r="U104" i="15"/>
  <c r="W103" i="15"/>
  <c r="U103" i="15"/>
  <c r="W102" i="15"/>
  <c r="U102" i="15"/>
  <c r="W101" i="15"/>
  <c r="U101" i="15"/>
  <c r="W100" i="15"/>
  <c r="U100" i="15"/>
  <c r="W99" i="15"/>
  <c r="U99" i="15"/>
  <c r="W98" i="15"/>
  <c r="U98" i="15"/>
  <c r="W97" i="15"/>
  <c r="U97" i="15"/>
  <c r="W96" i="15"/>
  <c r="U96" i="15"/>
  <c r="W95" i="15"/>
  <c r="U95" i="15"/>
  <c r="W94" i="15"/>
  <c r="U94" i="15"/>
  <c r="W93" i="15"/>
  <c r="U93" i="15"/>
  <c r="W92" i="15"/>
  <c r="U92" i="15"/>
  <c r="W91" i="15"/>
  <c r="U91" i="15"/>
  <c r="W90" i="15"/>
  <c r="U90" i="15"/>
  <c r="W89" i="15"/>
  <c r="U89" i="15"/>
  <c r="W88" i="15"/>
  <c r="U88" i="15"/>
  <c r="W87" i="15"/>
  <c r="U87" i="15"/>
  <c r="W86" i="15"/>
  <c r="U86" i="15"/>
  <c r="W85" i="15"/>
  <c r="U85" i="15"/>
  <c r="W84" i="15"/>
  <c r="U84" i="15"/>
  <c r="W83" i="15"/>
  <c r="U83" i="15"/>
  <c r="W82" i="15"/>
  <c r="U82" i="15"/>
  <c r="W81" i="15"/>
  <c r="U81" i="15"/>
  <c r="W80" i="15"/>
  <c r="U80" i="15"/>
  <c r="W79" i="15"/>
  <c r="U79" i="15"/>
  <c r="W78" i="15"/>
  <c r="U78" i="15"/>
  <c r="W77" i="15"/>
  <c r="U77" i="15"/>
  <c r="W76" i="15"/>
  <c r="U76" i="15"/>
  <c r="W75" i="15"/>
  <c r="U75" i="15"/>
  <c r="W74" i="15"/>
  <c r="U74" i="15"/>
  <c r="W73" i="15"/>
  <c r="U73" i="15"/>
  <c r="W72" i="15"/>
  <c r="U72" i="15"/>
  <c r="W71" i="15"/>
  <c r="U71" i="15"/>
  <c r="W70" i="15"/>
  <c r="U70" i="15"/>
  <c r="W69" i="15"/>
  <c r="U69" i="15"/>
  <c r="W68" i="15"/>
  <c r="U68" i="15"/>
  <c r="W67" i="15"/>
  <c r="U67" i="15"/>
  <c r="W66" i="15"/>
  <c r="U66" i="15"/>
  <c r="W65" i="15"/>
  <c r="U65" i="15"/>
  <c r="W64" i="15"/>
  <c r="U64" i="15"/>
  <c r="W63" i="15"/>
  <c r="U63" i="15"/>
  <c r="W62" i="15"/>
  <c r="U62" i="15"/>
  <c r="W61" i="15"/>
  <c r="U61" i="15"/>
  <c r="W60" i="15"/>
  <c r="U60" i="15"/>
  <c r="W59" i="15"/>
  <c r="U59" i="15"/>
  <c r="W58" i="15"/>
  <c r="U58" i="15"/>
  <c r="W57" i="15"/>
  <c r="U57" i="15"/>
  <c r="W56" i="15"/>
  <c r="U56" i="15"/>
  <c r="W55" i="15"/>
  <c r="U55" i="15"/>
  <c r="W54" i="15"/>
  <c r="U54" i="15"/>
  <c r="W53" i="15"/>
  <c r="U53" i="15"/>
  <c r="W52" i="15"/>
  <c r="U52" i="15"/>
  <c r="W51" i="15"/>
  <c r="U51" i="15"/>
  <c r="W50" i="15"/>
  <c r="U50" i="15"/>
  <c r="W49" i="15"/>
  <c r="U49" i="15"/>
  <c r="W48" i="15"/>
  <c r="U48" i="15"/>
  <c r="W47" i="15"/>
  <c r="U47" i="15"/>
  <c r="W46" i="15"/>
  <c r="U46" i="15"/>
  <c r="W45" i="15"/>
  <c r="U45" i="15"/>
  <c r="W44" i="15"/>
  <c r="U44" i="15"/>
  <c r="W43" i="15"/>
  <c r="U43" i="15"/>
  <c r="W42" i="15"/>
  <c r="U42" i="15"/>
  <c r="W41" i="15"/>
  <c r="U41" i="15"/>
  <c r="W40" i="15"/>
  <c r="U40" i="15"/>
  <c r="W39" i="15"/>
  <c r="U39" i="15"/>
  <c r="W38" i="15"/>
  <c r="U38" i="15"/>
  <c r="W37" i="15"/>
  <c r="U37" i="15"/>
  <c r="W36" i="15"/>
  <c r="U36" i="15"/>
  <c r="W35" i="15"/>
  <c r="U35" i="15"/>
  <c r="W34" i="15"/>
  <c r="U34" i="15"/>
  <c r="W33" i="15"/>
  <c r="U33" i="15"/>
  <c r="W32" i="15"/>
  <c r="U32" i="15"/>
  <c r="W31" i="15"/>
  <c r="U31" i="15"/>
  <c r="W30" i="15"/>
  <c r="U30" i="15"/>
  <c r="W29" i="15"/>
  <c r="U29" i="15"/>
  <c r="W28" i="15"/>
  <c r="U28" i="15"/>
  <c r="W27" i="15"/>
  <c r="U27" i="15"/>
  <c r="W26" i="15"/>
  <c r="U26" i="15"/>
  <c r="W25" i="15"/>
  <c r="U25" i="15"/>
  <c r="W24" i="15"/>
  <c r="U24" i="15"/>
  <c r="W23" i="15"/>
  <c r="U23" i="15"/>
  <c r="W22" i="15"/>
  <c r="U22" i="15"/>
  <c r="W21" i="15"/>
  <c r="U21" i="15"/>
  <c r="W20" i="15"/>
  <c r="U20" i="15"/>
  <c r="W19" i="15"/>
  <c r="U19" i="15"/>
  <c r="W18" i="15"/>
  <c r="U18" i="15"/>
  <c r="W17" i="15"/>
  <c r="U17" i="15"/>
  <c r="W16" i="15"/>
  <c r="U16" i="15"/>
  <c r="W15" i="15"/>
  <c r="U15" i="15"/>
  <c r="W14" i="15"/>
  <c r="U14" i="15"/>
  <c r="W13" i="15"/>
  <c r="U13" i="15"/>
  <c r="W12" i="15"/>
  <c r="U12" i="15"/>
  <c r="W11" i="15"/>
  <c r="U11" i="15"/>
  <c r="W10" i="15"/>
  <c r="U10" i="15"/>
  <c r="W9" i="15"/>
  <c r="U9" i="15"/>
  <c r="W8" i="15"/>
  <c r="U8" i="15"/>
  <c r="W7" i="15"/>
  <c r="U7" i="15"/>
  <c r="W6" i="15"/>
  <c r="W5" i="15"/>
  <c r="U5" i="15"/>
  <c r="U4" i="15"/>
  <c r="W4" i="15"/>
  <c r="K17" i="8"/>
  <c r="L17" i="8" s="1"/>
  <c r="K16" i="8"/>
  <c r="L16" i="8" s="1"/>
  <c r="L15" i="8"/>
  <c r="K14" i="8"/>
  <c r="L14" i="8" s="1"/>
  <c r="H15" i="8"/>
  <c r="G17" i="8"/>
  <c r="G16" i="8"/>
  <c r="G15" i="8"/>
  <c r="G14" i="8"/>
  <c r="F15" i="8"/>
  <c r="H6" i="8"/>
  <c r="J7" i="8"/>
  <c r="I8" i="8"/>
  <c r="E15" i="8"/>
  <c r="L21" i="15"/>
  <c r="N21" i="15" s="1"/>
  <c r="L132" i="15"/>
  <c r="N132" i="15" s="1"/>
  <c r="L131" i="15"/>
  <c r="N131" i="15" s="1"/>
  <c r="L130" i="15"/>
  <c r="N130" i="15" s="1"/>
  <c r="L129" i="15"/>
  <c r="N129" i="15" s="1"/>
  <c r="L128" i="15"/>
  <c r="N128" i="15" s="1"/>
  <c r="L127" i="15"/>
  <c r="M127" i="15" s="1"/>
  <c r="L126" i="15"/>
  <c r="N126" i="15" s="1"/>
  <c r="L125" i="15"/>
  <c r="N125" i="15" s="1"/>
  <c r="L124" i="15"/>
  <c r="N124" i="15" s="1"/>
  <c r="L123" i="15"/>
  <c r="N123" i="15" s="1"/>
  <c r="L122" i="15"/>
  <c r="N122" i="15" s="1"/>
  <c r="L121" i="15"/>
  <c r="N121" i="15" s="1"/>
  <c r="L120" i="15"/>
  <c r="N120" i="15" s="1"/>
  <c r="L119" i="15"/>
  <c r="M119" i="15" s="1"/>
  <c r="L118" i="15"/>
  <c r="N118" i="15" s="1"/>
  <c r="L117" i="15"/>
  <c r="N117" i="15" s="1"/>
  <c r="L116" i="15"/>
  <c r="N116" i="15" s="1"/>
  <c r="L115" i="15"/>
  <c r="N115" i="15" s="1"/>
  <c r="L114" i="15"/>
  <c r="M114" i="15" s="1"/>
  <c r="L113" i="15"/>
  <c r="N113" i="15" s="1"/>
  <c r="L112" i="15"/>
  <c r="N112" i="15" s="1"/>
  <c r="L111" i="15"/>
  <c r="M111" i="15" s="1"/>
  <c r="L110" i="15"/>
  <c r="M110" i="15" s="1"/>
  <c r="L109" i="15"/>
  <c r="N109" i="15" s="1"/>
  <c r="L108" i="15"/>
  <c r="N108" i="15" s="1"/>
  <c r="L107" i="15"/>
  <c r="N107" i="15" s="1"/>
  <c r="L106" i="15"/>
  <c r="N106" i="15" s="1"/>
  <c r="L105" i="15"/>
  <c r="N105" i="15" s="1"/>
  <c r="L104" i="15"/>
  <c r="N104" i="15" s="1"/>
  <c r="L103" i="15"/>
  <c r="N103" i="15" s="1"/>
  <c r="L102" i="15"/>
  <c r="N102" i="15" s="1"/>
  <c r="L101" i="15"/>
  <c r="N101" i="15" s="1"/>
  <c r="L100" i="15"/>
  <c r="N100" i="15" s="1"/>
  <c r="L99" i="15"/>
  <c r="N99" i="15" s="1"/>
  <c r="L98" i="15"/>
  <c r="N98" i="15" s="1"/>
  <c r="L97" i="15"/>
  <c r="N97" i="15" s="1"/>
  <c r="L96" i="15"/>
  <c r="N96" i="15" s="1"/>
  <c r="L95" i="15"/>
  <c r="N95" i="15" s="1"/>
  <c r="L94" i="15"/>
  <c r="N94" i="15" s="1"/>
  <c r="L93" i="15"/>
  <c r="N93" i="15" s="1"/>
  <c r="L92" i="15"/>
  <c r="N92" i="15" s="1"/>
  <c r="L91" i="15"/>
  <c r="N91" i="15" s="1"/>
  <c r="L90" i="15"/>
  <c r="M90" i="15" s="1"/>
  <c r="L89" i="15"/>
  <c r="N89" i="15" s="1"/>
  <c r="L88" i="15"/>
  <c r="N88" i="15" s="1"/>
  <c r="L87" i="15"/>
  <c r="M87" i="15" s="1"/>
  <c r="L86" i="15"/>
  <c r="N86" i="15" s="1"/>
  <c r="L85" i="15"/>
  <c r="N85" i="15" s="1"/>
  <c r="L84" i="15"/>
  <c r="N84" i="15" s="1"/>
  <c r="L83" i="15"/>
  <c r="N83" i="15" s="1"/>
  <c r="L82" i="15"/>
  <c r="N82" i="15" s="1"/>
  <c r="L81" i="15"/>
  <c r="N81" i="15" s="1"/>
  <c r="L80" i="15"/>
  <c r="N80" i="15" s="1"/>
  <c r="L79" i="15"/>
  <c r="M79" i="15" s="1"/>
  <c r="L78" i="15"/>
  <c r="N78" i="15" s="1"/>
  <c r="L77" i="15"/>
  <c r="N77" i="15" s="1"/>
  <c r="L76" i="15"/>
  <c r="N76" i="15" s="1"/>
  <c r="L75" i="15"/>
  <c r="N75" i="15" s="1"/>
  <c r="L74" i="15"/>
  <c r="N74" i="15" s="1"/>
  <c r="L73" i="15"/>
  <c r="N73" i="15" s="1"/>
  <c r="L72" i="15"/>
  <c r="N72" i="15" s="1"/>
  <c r="L71" i="15"/>
  <c r="M71" i="15" s="1"/>
  <c r="L70" i="15"/>
  <c r="N70" i="15" s="1"/>
  <c r="L69" i="15"/>
  <c r="N69" i="15" s="1"/>
  <c r="L68" i="15"/>
  <c r="N68" i="15" s="1"/>
  <c r="L67" i="15"/>
  <c r="N67" i="15" s="1"/>
  <c r="L66" i="15"/>
  <c r="N66" i="15" s="1"/>
  <c r="L65" i="15"/>
  <c r="N65" i="15" s="1"/>
  <c r="L64" i="15"/>
  <c r="N64" i="15" s="1"/>
  <c r="L63" i="15"/>
  <c r="M63" i="15" s="1"/>
  <c r="L62" i="15"/>
  <c r="N62" i="15" s="1"/>
  <c r="L61" i="15"/>
  <c r="N61" i="15" s="1"/>
  <c r="L60" i="15"/>
  <c r="N60" i="15" s="1"/>
  <c r="L59" i="15"/>
  <c r="N59" i="15" s="1"/>
  <c r="L58" i="15"/>
  <c r="M58" i="15" s="1"/>
  <c r="L57" i="15"/>
  <c r="N57" i="15" s="1"/>
  <c r="L56" i="15"/>
  <c r="N56" i="15" s="1"/>
  <c r="L55" i="15"/>
  <c r="M55" i="15" s="1"/>
  <c r="L54" i="15"/>
  <c r="N54" i="15" s="1"/>
  <c r="L53" i="15"/>
  <c r="N53" i="15" s="1"/>
  <c r="L52" i="15"/>
  <c r="N52" i="15" s="1"/>
  <c r="L51" i="15"/>
  <c r="N51" i="15" s="1"/>
  <c r="L50" i="15"/>
  <c r="N50" i="15" s="1"/>
  <c r="L49" i="15"/>
  <c r="M49" i="15" s="1"/>
  <c r="L48" i="15"/>
  <c r="N48" i="15" s="1"/>
  <c r="L47" i="15"/>
  <c r="M47" i="15" s="1"/>
  <c r="L46" i="15"/>
  <c r="N46" i="15" s="1"/>
  <c r="L45" i="15"/>
  <c r="N45" i="15" s="1"/>
  <c r="L44" i="15"/>
  <c r="N44" i="15" s="1"/>
  <c r="L43" i="15"/>
  <c r="N43" i="15" s="1"/>
  <c r="L42" i="15"/>
  <c r="N42" i="15" s="1"/>
  <c r="L41" i="15"/>
  <c r="N41" i="15" s="1"/>
  <c r="L40" i="15"/>
  <c r="N40" i="15" s="1"/>
  <c r="L39" i="15"/>
  <c r="M39" i="15" s="1"/>
  <c r="L38" i="15"/>
  <c r="N38" i="15" s="1"/>
  <c r="L37" i="15"/>
  <c r="N37" i="15" s="1"/>
  <c r="L36" i="15"/>
  <c r="N36" i="15" s="1"/>
  <c r="L35" i="15"/>
  <c r="N35" i="15" s="1"/>
  <c r="L34" i="15"/>
  <c r="N34" i="15" s="1"/>
  <c r="L33" i="15"/>
  <c r="N33" i="15" s="1"/>
  <c r="L32" i="15"/>
  <c r="N32" i="15" s="1"/>
  <c r="L31" i="15"/>
  <c r="N31" i="15" s="1"/>
  <c r="L30" i="15"/>
  <c r="N30" i="15" s="1"/>
  <c r="L29" i="15"/>
  <c r="N29" i="15" s="1"/>
  <c r="L28" i="15"/>
  <c r="N28" i="15" s="1"/>
  <c r="L27" i="15"/>
  <c r="N27" i="15" s="1"/>
  <c r="L26" i="15"/>
  <c r="N26" i="15" s="1"/>
  <c r="L25" i="15"/>
  <c r="M25" i="15" s="1"/>
  <c r="L24" i="15"/>
  <c r="N24" i="15" s="1"/>
  <c r="L23" i="15"/>
  <c r="N23" i="15" s="1"/>
  <c r="L22" i="15"/>
  <c r="M22" i="15" s="1"/>
  <c r="L20" i="15"/>
  <c r="M20" i="15" s="1"/>
  <c r="L19" i="15"/>
  <c r="N19" i="15" s="1"/>
  <c r="L18" i="15"/>
  <c r="M18" i="15" s="1"/>
  <c r="L17" i="15"/>
  <c r="N17" i="15" s="1"/>
  <c r="L16" i="15"/>
  <c r="N16" i="15" s="1"/>
  <c r="L15" i="15"/>
  <c r="M15" i="15" s="1"/>
  <c r="L14" i="15"/>
  <c r="N14" i="15" s="1"/>
  <c r="L13" i="15"/>
  <c r="N13" i="15" s="1"/>
  <c r="L12" i="15"/>
  <c r="N12" i="15" s="1"/>
  <c r="L11" i="15"/>
  <c r="N11" i="15" s="1"/>
  <c r="L10" i="15"/>
  <c r="N10" i="15" s="1"/>
  <c r="L9" i="15"/>
  <c r="M9" i="15" s="1"/>
  <c r="L8" i="15"/>
  <c r="N8" i="15" s="1"/>
  <c r="L7" i="15"/>
  <c r="M7" i="15" s="1"/>
  <c r="L6" i="15"/>
  <c r="N6" i="15" s="1"/>
  <c r="L5" i="15"/>
  <c r="N5" i="15" s="1"/>
  <c r="L4" i="15"/>
  <c r="M4" i="15" s="1"/>
  <c r="O4" i="15"/>
  <c r="D15" i="8"/>
  <c r="J9" i="8"/>
  <c r="I9" i="8"/>
  <c r="H9" i="8"/>
  <c r="D9" i="8"/>
  <c r="J6" i="8"/>
  <c r="I7" i="8"/>
  <c r="I6" i="8"/>
  <c r="J8" i="8"/>
  <c r="H7" i="8"/>
  <c r="D7" i="8"/>
  <c r="D8" i="8"/>
  <c r="D6" i="8"/>
  <c r="H8" i="8"/>
  <c r="N136" i="15" l="1"/>
  <c r="E136" i="15" s="1"/>
  <c r="N134" i="15"/>
  <c r="E134" i="15" s="1"/>
  <c r="N137" i="15"/>
  <c r="E137" i="15" s="1"/>
  <c r="N133" i="15"/>
  <c r="E133" i="15" s="1"/>
  <c r="N135" i="15"/>
  <c r="E135" i="15" s="1"/>
  <c r="D136" i="15"/>
  <c r="D134" i="15"/>
  <c r="D137" i="15"/>
  <c r="D133" i="15"/>
  <c r="D135" i="15"/>
  <c r="I15" i="8"/>
  <c r="N9" i="15"/>
  <c r="J10" i="8"/>
  <c r="G18" i="8"/>
  <c r="D10" i="8"/>
  <c r="H10" i="8"/>
  <c r="I10" i="8"/>
  <c r="M19" i="15"/>
  <c r="M64" i="15"/>
  <c r="M74" i="15"/>
  <c r="M106" i="15"/>
  <c r="M115" i="15"/>
  <c r="M12" i="15"/>
  <c r="M44" i="15"/>
  <c r="N18" i="15"/>
  <c r="M67" i="15"/>
  <c r="N114" i="15"/>
  <c r="N20" i="15"/>
  <c r="M83" i="15"/>
  <c r="M123" i="15"/>
  <c r="M27" i="15"/>
  <c r="M84" i="15"/>
  <c r="M124" i="15"/>
  <c r="M28" i="15"/>
  <c r="M51" i="15"/>
  <c r="M92" i="15"/>
  <c r="M131" i="15"/>
  <c r="M34" i="15"/>
  <c r="M52" i="15"/>
  <c r="M96" i="15"/>
  <c r="M43" i="15"/>
  <c r="M60" i="15"/>
  <c r="M99" i="15"/>
  <c r="M10" i="15"/>
  <c r="M23" i="15"/>
  <c r="M29" i="15"/>
  <c r="M35" i="15"/>
  <c r="M46" i="15"/>
  <c r="M54" i="15"/>
  <c r="M66" i="15"/>
  <c r="M75" i="15"/>
  <c r="M86" i="15"/>
  <c r="M98" i="15"/>
  <c r="M107" i="15"/>
  <c r="M116" i="15"/>
  <c r="M125" i="15"/>
  <c r="M132" i="15"/>
  <c r="M11" i="15"/>
  <c r="M24" i="15"/>
  <c r="M36" i="15"/>
  <c r="M48" i="15"/>
  <c r="M56" i="15"/>
  <c r="M76" i="15"/>
  <c r="M88" i="15"/>
  <c r="M108" i="15"/>
  <c r="M6" i="15"/>
  <c r="M14" i="15"/>
  <c r="M21" i="15"/>
  <c r="N25" i="15"/>
  <c r="M31" i="15"/>
  <c r="M40" i="15"/>
  <c r="N49" i="15"/>
  <c r="N58" i="15"/>
  <c r="M68" i="15"/>
  <c r="M80" i="15"/>
  <c r="N90" i="15"/>
  <c r="M100" i="15"/>
  <c r="N110" i="15"/>
  <c r="M120" i="15"/>
  <c r="M128" i="15"/>
  <c r="M94" i="15"/>
  <c r="M30" i="15"/>
  <c r="M38" i="15"/>
  <c r="M78" i="15"/>
  <c r="M118" i="15"/>
  <c r="M126" i="15"/>
  <c r="M8" i="15"/>
  <c r="M16" i="15"/>
  <c r="M26" i="15"/>
  <c r="M42" i="15"/>
  <c r="M50" i="15"/>
  <c r="M59" i="15"/>
  <c r="M70" i="15"/>
  <c r="M82" i="15"/>
  <c r="M91" i="15"/>
  <c r="M102" i="15"/>
  <c r="M112" i="15"/>
  <c r="M122" i="15"/>
  <c r="M130" i="15"/>
  <c r="N22" i="15"/>
  <c r="M62" i="15"/>
  <c r="M32" i="15"/>
  <c r="M72" i="15"/>
  <c r="M104" i="15"/>
  <c r="M95" i="15"/>
  <c r="M103" i="15"/>
  <c r="N7" i="15"/>
  <c r="N15" i="15"/>
  <c r="N39" i="15"/>
  <c r="N47" i="15"/>
  <c r="N55" i="15"/>
  <c r="N63" i="15"/>
  <c r="N71" i="15"/>
  <c r="N79" i="15"/>
  <c r="N87" i="15"/>
  <c r="N111" i="15"/>
  <c r="N119" i="15"/>
  <c r="N127" i="15"/>
  <c r="M5" i="15"/>
  <c r="M13" i="15"/>
  <c r="M17" i="15"/>
  <c r="M33" i="15"/>
  <c r="M37" i="15"/>
  <c r="M41" i="15"/>
  <c r="M45" i="15"/>
  <c r="M53" i="15"/>
  <c r="M57" i="15"/>
  <c r="M61" i="15"/>
  <c r="M65" i="15"/>
  <c r="M69" i="15"/>
  <c r="M73" i="15"/>
  <c r="M77" i="15"/>
  <c r="M81" i="15"/>
  <c r="M85" i="15"/>
  <c r="M89" i="15"/>
  <c r="M93" i="15"/>
  <c r="M97" i="15"/>
  <c r="M101" i="15"/>
  <c r="M105" i="15"/>
  <c r="M109" i="15"/>
  <c r="M113" i="15"/>
  <c r="M117" i="15"/>
  <c r="M121" i="15"/>
  <c r="M129" i="15"/>
  <c r="K7" i="8"/>
  <c r="F7" i="8" l="1"/>
  <c r="K10" i="8"/>
  <c r="O21" i="15" l="1"/>
  <c r="E21" i="15" s="1"/>
  <c r="D21" i="15" l="1"/>
  <c r="N4" i="15"/>
  <c r="E4" i="15" s="1"/>
  <c r="O34" i="15"/>
  <c r="E34" i="15" s="1"/>
  <c r="O5" i="15"/>
  <c r="E5" i="15" s="1"/>
  <c r="O6" i="15"/>
  <c r="E6" i="15" s="1"/>
  <c r="O7" i="15"/>
  <c r="E7" i="15" s="1"/>
  <c r="O8" i="15"/>
  <c r="E8" i="15" s="1"/>
  <c r="O9" i="15"/>
  <c r="E9" i="15" s="1"/>
  <c r="H16" i="8" s="1"/>
  <c r="O10" i="15"/>
  <c r="E10" i="15" s="1"/>
  <c r="O11" i="15"/>
  <c r="E11" i="15" s="1"/>
  <c r="O12" i="15"/>
  <c r="E12" i="15" s="1"/>
  <c r="O13" i="15"/>
  <c r="E13" i="15" s="1"/>
  <c r="O14" i="15"/>
  <c r="E14" i="15" s="1"/>
  <c r="O47" i="15"/>
  <c r="E47" i="15" s="1"/>
  <c r="O48" i="15"/>
  <c r="E48" i="15" s="1"/>
  <c r="O49" i="15"/>
  <c r="E49" i="15" s="1"/>
  <c r="O15" i="15"/>
  <c r="E15" i="15" s="1"/>
  <c r="O16" i="15"/>
  <c r="E16" i="15" s="1"/>
  <c r="O17" i="15"/>
  <c r="E17" i="15" s="1"/>
  <c r="O18" i="15"/>
  <c r="E18" i="15" s="1"/>
  <c r="O19" i="15"/>
  <c r="E19" i="15" s="1"/>
  <c r="O20" i="15"/>
  <c r="E20" i="15" s="1"/>
  <c r="O22" i="15"/>
  <c r="E22" i="15" s="1"/>
  <c r="O23" i="15"/>
  <c r="E23" i="15" s="1"/>
  <c r="O24" i="15"/>
  <c r="E24" i="15" s="1"/>
  <c r="O25" i="15"/>
  <c r="E25" i="15" s="1"/>
  <c r="O26" i="15"/>
  <c r="E26" i="15" s="1"/>
  <c r="O27" i="15"/>
  <c r="E27" i="15" s="1"/>
  <c r="O28" i="15"/>
  <c r="E28" i="15" s="1"/>
  <c r="O29" i="15"/>
  <c r="E29" i="15" s="1"/>
  <c r="O30" i="15"/>
  <c r="E30" i="15" s="1"/>
  <c r="O31" i="15"/>
  <c r="E31" i="15" s="1"/>
  <c r="O32" i="15"/>
  <c r="E32" i="15" s="1"/>
  <c r="O33" i="15"/>
  <c r="E33" i="15" s="1"/>
  <c r="O35" i="15"/>
  <c r="E35" i="15" s="1"/>
  <c r="O36" i="15"/>
  <c r="E36" i="15" s="1"/>
  <c r="O37" i="15"/>
  <c r="E37" i="15" s="1"/>
  <c r="O38" i="15"/>
  <c r="E38" i="15" s="1"/>
  <c r="O39" i="15"/>
  <c r="E39" i="15" s="1"/>
  <c r="O40" i="15"/>
  <c r="E40" i="15" s="1"/>
  <c r="O41" i="15"/>
  <c r="E41" i="15" s="1"/>
  <c r="O42" i="15"/>
  <c r="E42" i="15" s="1"/>
  <c r="O43" i="15"/>
  <c r="E43" i="15" s="1"/>
  <c r="O44" i="15"/>
  <c r="E44" i="15" s="1"/>
  <c r="O45" i="15"/>
  <c r="E45" i="15" s="1"/>
  <c r="O46" i="15"/>
  <c r="E46" i="15" s="1"/>
  <c r="O50" i="15"/>
  <c r="E50" i="15" s="1"/>
  <c r="O51" i="15"/>
  <c r="E51" i="15" s="1"/>
  <c r="O52" i="15"/>
  <c r="E52" i="15" s="1"/>
  <c r="O53" i="15"/>
  <c r="E53" i="15" s="1"/>
  <c r="O54" i="15"/>
  <c r="E54" i="15" s="1"/>
  <c r="O55" i="15"/>
  <c r="E55" i="15" s="1"/>
  <c r="O56" i="15"/>
  <c r="E56" i="15" s="1"/>
  <c r="O57" i="15"/>
  <c r="E57" i="15" s="1"/>
  <c r="O58" i="15"/>
  <c r="E58" i="15" s="1"/>
  <c r="O59" i="15"/>
  <c r="E59" i="15" s="1"/>
  <c r="O60" i="15"/>
  <c r="E60" i="15" s="1"/>
  <c r="O61" i="15"/>
  <c r="E61" i="15" s="1"/>
  <c r="O62" i="15"/>
  <c r="E62" i="15" s="1"/>
  <c r="O63" i="15"/>
  <c r="E63" i="15" s="1"/>
  <c r="O64" i="15"/>
  <c r="E64" i="15" s="1"/>
  <c r="O65" i="15"/>
  <c r="E65" i="15" s="1"/>
  <c r="O66" i="15"/>
  <c r="E66" i="15" s="1"/>
  <c r="O67" i="15"/>
  <c r="E67" i="15" s="1"/>
  <c r="O68" i="15"/>
  <c r="E68" i="15" s="1"/>
  <c r="O69" i="15"/>
  <c r="E69" i="15" s="1"/>
  <c r="O70" i="15"/>
  <c r="E70" i="15" s="1"/>
  <c r="O71" i="15"/>
  <c r="E71" i="15" s="1"/>
  <c r="O72" i="15"/>
  <c r="E72" i="15" s="1"/>
  <c r="O73" i="15"/>
  <c r="E73" i="15" s="1"/>
  <c r="O74" i="15"/>
  <c r="E74" i="15" s="1"/>
  <c r="O75" i="15"/>
  <c r="E75" i="15" s="1"/>
  <c r="O76" i="15"/>
  <c r="E76" i="15" s="1"/>
  <c r="O77" i="15"/>
  <c r="E77" i="15" s="1"/>
  <c r="O78" i="15"/>
  <c r="E78" i="15" s="1"/>
  <c r="O79" i="15"/>
  <c r="E79" i="15" s="1"/>
  <c r="O80" i="15"/>
  <c r="E80" i="15" s="1"/>
  <c r="O81" i="15"/>
  <c r="E81" i="15" s="1"/>
  <c r="O82" i="15"/>
  <c r="E82" i="15" s="1"/>
  <c r="O83" i="15"/>
  <c r="E83" i="15" s="1"/>
  <c r="O84" i="15"/>
  <c r="E84" i="15" s="1"/>
  <c r="O85" i="15"/>
  <c r="E85" i="15" s="1"/>
  <c r="O86" i="15"/>
  <c r="E86" i="15" s="1"/>
  <c r="O87" i="15"/>
  <c r="E87" i="15" s="1"/>
  <c r="O88" i="15"/>
  <c r="E88" i="15" s="1"/>
  <c r="O89" i="15"/>
  <c r="E89" i="15" s="1"/>
  <c r="O90" i="15"/>
  <c r="E90" i="15" s="1"/>
  <c r="O91" i="15"/>
  <c r="E91" i="15" s="1"/>
  <c r="O92" i="15"/>
  <c r="E92" i="15" s="1"/>
  <c r="O93" i="15"/>
  <c r="E93" i="15" s="1"/>
  <c r="O94" i="15"/>
  <c r="E94" i="15" s="1"/>
  <c r="O95" i="15"/>
  <c r="E95" i="15" s="1"/>
  <c r="O96" i="15"/>
  <c r="E96" i="15" s="1"/>
  <c r="O97" i="15"/>
  <c r="E97" i="15" s="1"/>
  <c r="O98" i="15"/>
  <c r="E98" i="15" s="1"/>
  <c r="O99" i="15"/>
  <c r="E99" i="15" s="1"/>
  <c r="O100" i="15"/>
  <c r="E100" i="15" s="1"/>
  <c r="O101" i="15"/>
  <c r="E101" i="15" s="1"/>
  <c r="O102" i="15"/>
  <c r="E102" i="15" s="1"/>
  <c r="O103" i="15"/>
  <c r="E103" i="15" s="1"/>
  <c r="O104" i="15"/>
  <c r="E104" i="15" s="1"/>
  <c r="O105" i="15"/>
  <c r="E105" i="15" s="1"/>
  <c r="O106" i="15"/>
  <c r="E106" i="15" s="1"/>
  <c r="O107" i="15"/>
  <c r="E107" i="15" s="1"/>
  <c r="O108" i="15"/>
  <c r="E108" i="15" s="1"/>
  <c r="O109" i="15"/>
  <c r="E109" i="15" s="1"/>
  <c r="O110" i="15"/>
  <c r="E110" i="15" s="1"/>
  <c r="O111" i="15"/>
  <c r="E111" i="15" s="1"/>
  <c r="O112" i="15"/>
  <c r="E112" i="15" s="1"/>
  <c r="O113" i="15"/>
  <c r="E113" i="15" s="1"/>
  <c r="O114" i="15"/>
  <c r="E114" i="15" s="1"/>
  <c r="O115" i="15"/>
  <c r="E115" i="15" s="1"/>
  <c r="O116" i="15"/>
  <c r="E116" i="15" s="1"/>
  <c r="O117" i="15"/>
  <c r="E117" i="15" s="1"/>
  <c r="O118" i="15"/>
  <c r="E118" i="15" s="1"/>
  <c r="O119" i="15"/>
  <c r="E119" i="15" s="1"/>
  <c r="O120" i="15"/>
  <c r="E120" i="15" s="1"/>
  <c r="O121" i="15"/>
  <c r="E121" i="15" s="1"/>
  <c r="O122" i="15"/>
  <c r="E122" i="15" s="1"/>
  <c r="O123" i="15"/>
  <c r="E123" i="15" s="1"/>
  <c r="O124" i="15"/>
  <c r="E124" i="15" s="1"/>
  <c r="O125" i="15"/>
  <c r="E125" i="15" s="1"/>
  <c r="O126" i="15"/>
  <c r="E126" i="15" s="1"/>
  <c r="O127" i="15"/>
  <c r="E127" i="15" s="1"/>
  <c r="O128" i="15"/>
  <c r="E128" i="15" s="1"/>
  <c r="O129" i="15"/>
  <c r="E129" i="15" s="1"/>
  <c r="O130" i="15"/>
  <c r="E130" i="15" s="1"/>
  <c r="O131" i="15"/>
  <c r="E131" i="15" s="1"/>
  <c r="O132" i="15"/>
  <c r="E132" i="15" s="1"/>
  <c r="H14" i="8" l="1"/>
  <c r="H18" i="8" s="1"/>
  <c r="E17" i="8"/>
  <c r="H17" i="8"/>
  <c r="E16" i="8"/>
  <c r="E14" i="8"/>
  <c r="D14" i="8"/>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6" i="15"/>
  <c r="D45" i="15"/>
  <c r="D44" i="15"/>
  <c r="D43" i="15"/>
  <c r="D42" i="15"/>
  <c r="D41" i="15"/>
  <c r="D40" i="15"/>
  <c r="D39" i="15"/>
  <c r="D38" i="15"/>
  <c r="D37" i="15"/>
  <c r="D36" i="15"/>
  <c r="D35" i="15"/>
  <c r="D33" i="15"/>
  <c r="D32" i="15"/>
  <c r="D31" i="15"/>
  <c r="D30" i="15"/>
  <c r="D29" i="15"/>
  <c r="D28" i="15"/>
  <c r="D27" i="15"/>
  <c r="D26" i="15"/>
  <c r="D25" i="15"/>
  <c r="D24" i="15"/>
  <c r="D23" i="15"/>
  <c r="D22" i="15"/>
  <c r="D20" i="15"/>
  <c r="D19" i="15"/>
  <c r="D18" i="15"/>
  <c r="D17" i="15"/>
  <c r="D16" i="15"/>
  <c r="D15" i="15"/>
  <c r="D49" i="15"/>
  <c r="D48" i="15"/>
  <c r="D47" i="15"/>
  <c r="D14" i="15"/>
  <c r="D13" i="15"/>
  <c r="D12" i="15"/>
  <c r="D11" i="15"/>
  <c r="D10" i="15"/>
  <c r="D9" i="15"/>
  <c r="D8" i="15"/>
  <c r="D7" i="15"/>
  <c r="D6" i="15"/>
  <c r="D5" i="15"/>
  <c r="D4" i="15"/>
  <c r="D34" i="15"/>
  <c r="G9" i="8"/>
  <c r="F9" i="8"/>
  <c r="E9" i="8"/>
  <c r="E6" i="8"/>
  <c r="F6" i="8"/>
  <c r="G6" i="8"/>
  <c r="F8" i="8"/>
  <c r="E8" i="8"/>
  <c r="G8" i="8"/>
  <c r="E7" i="8"/>
  <c r="G7" i="8"/>
  <c r="E18" i="8" l="1"/>
  <c r="F10" i="8"/>
  <c r="E10" i="8"/>
  <c r="G10" i="8"/>
  <c r="F16" i="8"/>
  <c r="D16" i="8"/>
  <c r="D18" i="8" s="1"/>
  <c r="F17" i="8"/>
  <c r="D17" i="8"/>
  <c r="F14" i="8"/>
  <c r="I14" i="8" s="1"/>
  <c r="K6" i="8"/>
  <c r="I16" i="8" l="1"/>
  <c r="I17" i="8"/>
  <c r="F18" i="8"/>
  <c r="I18" i="8" l="1"/>
  <c r="V126" i="15" l="1"/>
  <c r="V118" i="15"/>
  <c r="V110" i="15"/>
  <c r="V102" i="15"/>
  <c r="V94" i="15"/>
  <c r="V86" i="15"/>
  <c r="V78" i="15"/>
  <c r="V70" i="15"/>
  <c r="V62" i="15"/>
  <c r="V54" i="15"/>
  <c r="V46" i="15"/>
  <c r="V38" i="15"/>
  <c r="V30" i="15"/>
  <c r="V22" i="15"/>
  <c r="V14" i="15"/>
  <c r="V6" i="15"/>
  <c r="V134" i="15"/>
  <c r="V132" i="15"/>
  <c r="V124" i="15"/>
  <c r="V116" i="15"/>
  <c r="V108" i="15"/>
  <c r="V100" i="15"/>
  <c r="V92" i="15"/>
  <c r="V84" i="15"/>
  <c r="V76" i="15"/>
  <c r="V68" i="15"/>
  <c r="V60" i="15"/>
  <c r="V52" i="15"/>
  <c r="V44" i="15"/>
  <c r="V36" i="15"/>
  <c r="V28" i="15"/>
  <c r="V20" i="15"/>
  <c r="V12" i="15"/>
  <c r="V131" i="15"/>
  <c r="V123" i="15"/>
  <c r="V115" i="15"/>
  <c r="V107" i="15"/>
  <c r="V99" i="15"/>
  <c r="V91" i="15"/>
  <c r="V83" i="15"/>
  <c r="V75" i="15"/>
  <c r="V67" i="15"/>
  <c r="V59" i="15"/>
  <c r="V51" i="15"/>
  <c r="V43" i="15"/>
  <c r="V35" i="15"/>
  <c r="V27" i="15"/>
  <c r="V19" i="15"/>
  <c r="V11" i="15"/>
  <c r="V80" i="15"/>
  <c r="V72" i="15"/>
  <c r="V48" i="15"/>
  <c r="V32" i="15"/>
  <c r="V16" i="15"/>
  <c r="V50" i="15"/>
  <c r="V26" i="15"/>
  <c r="V127" i="15"/>
  <c r="V119" i="15"/>
  <c r="V111" i="15"/>
  <c r="V103" i="15"/>
  <c r="V95" i="15"/>
  <c r="V55" i="15"/>
  <c r="V47" i="15"/>
  <c r="V31" i="15"/>
  <c r="V128" i="15"/>
  <c r="V120" i="15"/>
  <c r="V112" i="15"/>
  <c r="V104" i="15"/>
  <c r="V96" i="15"/>
  <c r="V88" i="15"/>
  <c r="V64" i="15"/>
  <c r="V56" i="15"/>
  <c r="V40" i="15"/>
  <c r="V24" i="15"/>
  <c r="V82" i="15"/>
  <c r="V66" i="15"/>
  <c r="V42" i="15"/>
  <c r="V18" i="15"/>
  <c r="V137" i="15"/>
  <c r="V125" i="15"/>
  <c r="V117" i="15"/>
  <c r="V109" i="15"/>
  <c r="V101" i="15"/>
  <c r="V93" i="15"/>
  <c r="V85" i="15"/>
  <c r="V77" i="15"/>
  <c r="V69" i="15"/>
  <c r="V61" i="15"/>
  <c r="V53" i="15"/>
  <c r="V45" i="15"/>
  <c r="V37" i="15"/>
  <c r="V29" i="15"/>
  <c r="V21" i="15"/>
  <c r="V13" i="15"/>
  <c r="V5" i="15"/>
  <c r="V136" i="15"/>
  <c r="V130" i="15"/>
  <c r="V122" i="15"/>
  <c r="V114" i="15"/>
  <c r="V106" i="15"/>
  <c r="V98" i="15"/>
  <c r="V90" i="15"/>
  <c r="V74" i="15"/>
  <c r="V58" i="15"/>
  <c r="V34" i="15"/>
  <c r="V10" i="15"/>
  <c r="V135" i="15"/>
  <c r="V87" i="15"/>
  <c r="V79" i="15"/>
  <c r="V63" i="15"/>
  <c r="V39" i="15"/>
  <c r="V23" i="15"/>
  <c r="V15" i="15"/>
  <c r="V71" i="15"/>
  <c r="V4" i="15"/>
  <c r="V133" i="15"/>
  <c r="V129" i="15"/>
  <c r="V121" i="15"/>
  <c r="V113" i="15"/>
  <c r="V105" i="15"/>
  <c r="V97" i="15"/>
  <c r="V89" i="15"/>
  <c r="V81" i="15"/>
  <c r="V73" i="15"/>
  <c r="V65" i="15"/>
  <c r="V57" i="15"/>
  <c r="V49" i="15"/>
  <c r="V41" i="15"/>
  <c r="V33" i="15"/>
  <c r="V25" i="15"/>
  <c r="V17" i="15"/>
  <c r="V9" i="15"/>
  <c r="K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5466C0-17FC-4F5E-B75A-D17CF4C7A093}" keepAlive="1" name="Query - Defect List" description="Connection to the 'Defect List' query in the workbook." type="5" refreshedVersion="8" background="1" saveData="1">
    <dbPr connection="Provider=Microsoft.Mashup.OleDb.1;Data Source=$Workbook$;Location=&quot;Defect List&quot;;Extended Properties=&quot;&quot;" command="SELECT * FROM [Defect List]"/>
  </connection>
  <connection id="2" xr16:uid="{8C233076-29ED-41D0-B831-9A54D995E49F}" keepAlive="1" name="Query - Trade_Code" description="Connection to the 'Trade_Code' query in the workbook." type="5" refreshedVersion="0" background="1">
    <dbPr connection="Provider=Microsoft.Mashup.OleDb.1;Data Source=$Workbook$;Location=Trade_Code;Extended Properties=&quot;&quot;" command="SELECT * FROM [Trade_Cod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<sst xmlns="http://schemas.openxmlformats.org/spreadsheetml/2006/main" count="2810" uniqueCount="454">
  <si>
    <t>Total</t>
  </si>
  <si>
    <t>Action By</t>
  </si>
  <si>
    <t>Target Date</t>
  </si>
  <si>
    <t>Status</t>
  </si>
  <si>
    <t>Holding Point</t>
  </si>
  <si>
    <t>Outstanding</t>
  </si>
  <si>
    <t>DELETED</t>
  </si>
  <si>
    <t>Awaiting RFI</t>
  </si>
  <si>
    <t>Completed</t>
  </si>
  <si>
    <t>To Be Signed</t>
  </si>
  <si>
    <t>Started</t>
  </si>
  <si>
    <t>N/A</t>
  </si>
  <si>
    <t>Signed 1/4</t>
  </si>
  <si>
    <t>Main_Building</t>
  </si>
  <si>
    <t>Maintanence Job</t>
  </si>
  <si>
    <t>MJ Can Close?</t>
  </si>
  <si>
    <t>MJ Remark</t>
  </si>
  <si>
    <t>Job Status</t>
  </si>
  <si>
    <t>Warehouse</t>
  </si>
  <si>
    <t>Cooling_House</t>
  </si>
  <si>
    <t>MJ-Cooling_House-5423016-118</t>
  </si>
  <si>
    <t>MJ-Cooling_House-5423001-117</t>
  </si>
  <si>
    <t>MJ-Cooling_House-5423001-116</t>
  </si>
  <si>
    <t>MJ-Cooling_House-5135002-091</t>
  </si>
  <si>
    <t>MJ-Cooling_House-5412001-136</t>
  </si>
  <si>
    <t>MJ-Cooling_House-5412001-114</t>
  </si>
  <si>
    <t>MJ-Cooling_House-5115002-013</t>
  </si>
  <si>
    <t>MJ-Cooling_House-5115002-012</t>
  </si>
  <si>
    <t>MJ-Cooling_House-5115001-011</t>
  </si>
  <si>
    <t>MJ-Cooling_House-5111008-009</t>
  </si>
  <si>
    <t>MJ-Cooling_House-1223001-001</t>
  </si>
  <si>
    <t>MJ-Cooling_House-1223001-138</t>
  </si>
  <si>
    <t>MJ-Cooling_House-5412001-115</t>
  </si>
  <si>
    <t>MJ-Cooling_House-5336005-105</t>
  </si>
  <si>
    <t>MJ-Cooling_House-5336005-154</t>
  </si>
  <si>
    <t>MJ-Cooling_House-5336004-095</t>
  </si>
  <si>
    <t>MJ-Cooling_House-5241004-090</t>
  </si>
  <si>
    <t>MJ-Cooling_House-5241003-088</t>
  </si>
  <si>
    <t>MJ-Cooling_House-5135002-050</t>
  </si>
  <si>
    <t>MJ-Cooling_House-5134003-046</t>
  </si>
  <si>
    <t>MJ-Cooling_House-5134002-044</t>
  </si>
  <si>
    <t>MJ-Cooling_House-5134001-042</t>
  </si>
  <si>
    <t>MJ-Cooling_House-5133007-040</t>
  </si>
  <si>
    <t>MJ-Cooling_House-5133007-033</t>
  </si>
  <si>
    <t>MJ-Cooling_House-5125001-019</t>
  </si>
  <si>
    <t>MJ-Cooling_House-5125001-150</t>
  </si>
  <si>
    <t>MJ-Cooling_House-5125001-153</t>
  </si>
  <si>
    <t>MJ-Cooling_House-5125001-021</t>
  </si>
  <si>
    <t>MJ-Cooling_House-5124004-016</t>
  </si>
  <si>
    <t>MJ-Cooling_House-5124004-015</t>
  </si>
  <si>
    <t>MJ-Cooling_House-5115001-140</t>
  </si>
  <si>
    <t>MJ-Cooling_House-5111008-010</t>
  </si>
  <si>
    <t>MJ-Main_Building-5115002-021</t>
  </si>
  <si>
    <t>MJ-Main_Building-5115001-017</t>
  </si>
  <si>
    <t>MJ-Main_Building-5115001-019</t>
  </si>
  <si>
    <t>MJ-Main_Building-5111008-133</t>
  </si>
  <si>
    <t>MJ-Main_Building-5111008-014</t>
  </si>
  <si>
    <t>MJ-Main_Building-5111008-013</t>
  </si>
  <si>
    <t>MJ-Main_Building-5111008-160</t>
  </si>
  <si>
    <t>MJ-Main_Building-5111008-011</t>
  </si>
  <si>
    <t>MJ-Main_Building-5111008-012</t>
  </si>
  <si>
    <t>MJ-Main_Building-5111008-010</t>
  </si>
  <si>
    <t>MJ-Main_Building-5111007-009</t>
  </si>
  <si>
    <t>MJ-Main_Building-1263001-008</t>
  </si>
  <si>
    <t>MJ-Main_Building-1263001-007</t>
  </si>
  <si>
    <t>MJ-Main_Building-1263001-140</t>
  </si>
  <si>
    <t>MJ-Main_Building-1251026-006</t>
  </si>
  <si>
    <t>MJ-Main_Building-1251025-005</t>
  </si>
  <si>
    <t>MJ-Main_Building-1251024-004</t>
  </si>
  <si>
    <t>MJ-Main_Building-1251003-002</t>
  </si>
  <si>
    <t>MJ-Main_Building-5124001-155</t>
  </si>
  <si>
    <t>MJ-Main_Building-5115008-154</t>
  </si>
  <si>
    <t>MJ-Main_Building-5115007-153</t>
  </si>
  <si>
    <t>MJ-Main_Building-5115005-152</t>
  </si>
  <si>
    <t>MJ-Main_Building-5425006-063</t>
  </si>
  <si>
    <t>MJ-Main_Building-5415001-062</t>
  </si>
  <si>
    <t>MJ-Main_Building-5415001-061</t>
  </si>
  <si>
    <t>MJ-Main_Building-5412006-058</t>
  </si>
  <si>
    <t>MJ-Main_Building-5412006-057</t>
  </si>
  <si>
    <t>MJ-Main_Building-5412006-055</t>
  </si>
  <si>
    <t>MJ-Main_Building-5412006-054</t>
  </si>
  <si>
    <t>MJ-Main_Building-5412006-052</t>
  </si>
  <si>
    <t>MJ-Main_Building-5412006-051</t>
  </si>
  <si>
    <t>MJ-Main_Building-5412006-049</t>
  </si>
  <si>
    <t>MJ-Main_Building-5412006-048</t>
  </si>
  <si>
    <t>MJ-Main_Building-5412006-046</t>
  </si>
  <si>
    <t>MJ-Main_Building-5412006-045</t>
  </si>
  <si>
    <t>MJ-Main_Building-5412006-043</t>
  </si>
  <si>
    <t>MJ-Main_Building-5412006-042</t>
  </si>
  <si>
    <t>MJ-Main_Building-5412006-040</t>
  </si>
  <si>
    <t>MJ-Main_Building-5412006-039</t>
  </si>
  <si>
    <t>MJ-Main_Building-5412006-037</t>
  </si>
  <si>
    <t>MJ-Main_Building-5412006-036</t>
  </si>
  <si>
    <t>MJ-Main_Building-5412006-034</t>
  </si>
  <si>
    <t>MJ-Main_Building-5412006-033</t>
  </si>
  <si>
    <t>MJ-Main_Building-5412006-031</t>
  </si>
  <si>
    <t>MJ-Main_Building-5412006-030</t>
  </si>
  <si>
    <t>MJ-Main_Building-5412006-028</t>
  </si>
  <si>
    <t>MJ-Main_Building-5412006-027</t>
  </si>
  <si>
    <t>MJ-Main_Building-5412006-025</t>
  </si>
  <si>
    <t>MJ-Main_Building-5412006-024</t>
  </si>
  <si>
    <t>MJ-Main_Building-5412006-064</t>
  </si>
  <si>
    <t>MJ-Main_Building-5412006-066</t>
  </si>
  <si>
    <t>MJ-Main_Building-5412006-022</t>
  </si>
  <si>
    <t>MJ-Main_Building-5412006-021</t>
  </si>
  <si>
    <t>MJ-Main_Building-5412006-019</t>
  </si>
  <si>
    <t>MJ-Main_Building-5412006-018</t>
  </si>
  <si>
    <t>MJ-Main_Building-5412006-016</t>
  </si>
  <si>
    <t>MJ-Main_Building-5412006-015</t>
  </si>
  <si>
    <t>MJ-Main_Building-5412006-013</t>
  </si>
  <si>
    <t>MJ-Main_Building-5412006-012</t>
  </si>
  <si>
    <t>MJ-Main_Building-5412006-010</t>
  </si>
  <si>
    <t>MJ-Main_Building-5412006-009</t>
  </si>
  <si>
    <t>MJ-Main_Building-5412006-007</t>
  </si>
  <si>
    <t>MJ-Main_Building-5412006-006</t>
  </si>
  <si>
    <t>MJ-Main_Building-5412006-067</t>
  </si>
  <si>
    <t>MJ-Main_Building-5241002-004</t>
  </si>
  <si>
    <t>MJ-Main_Building-5241002-003</t>
  </si>
  <si>
    <t>MJ-Main_Building-5241001-002</t>
  </si>
  <si>
    <t>MJ-Main_Building-5241001-001</t>
  </si>
  <si>
    <t>MJ-Main_Building-5412001-121</t>
  </si>
  <si>
    <t>MJ-Main_Building-5241003-104</t>
  </si>
  <si>
    <t>MJ-Main_Building-5135002-102</t>
  </si>
  <si>
    <t>MJ-Main_Building-5134002-099</t>
  </si>
  <si>
    <t>MJ-Main_Building-5133007-094</t>
  </si>
  <si>
    <t>MJ-Main_Building-5133007-093</t>
  </si>
  <si>
    <t>MJ-Main_Building-5133007-092</t>
  </si>
  <si>
    <t>MJ-Main_Building-5133007-091</t>
  </si>
  <si>
    <t>MJ-Main_Building-5115001-018</t>
  </si>
  <si>
    <t>MJ-Main_Building-5111008-015</t>
  </si>
  <si>
    <t>MJ-Main_Building-1223001-001</t>
  </si>
  <si>
    <t>MJ-Main_Building-5336004-118</t>
  </si>
  <si>
    <t>MJ-Main_Building-5241004-107</t>
  </si>
  <si>
    <t>MJ-Main_Building-5111008-016</t>
  </si>
  <si>
    <t>MJ-Main_Building-5412006-011</t>
  </si>
  <si>
    <t>MJ-Main_Building-5412006-008</t>
  </si>
  <si>
    <t>MJ-Main_Building-5412006-005</t>
  </si>
  <si>
    <t>MJ-Main_Building-5412006-069</t>
  </si>
  <si>
    <t>MJ-Main_Building-5412006-068</t>
  </si>
  <si>
    <t>MJ-Main_Building-5134001-146</t>
  </si>
  <si>
    <t>MJ-Main_Building-5252009-147</t>
  </si>
  <si>
    <t>MJ-Main_Building-5252009-148</t>
  </si>
  <si>
    <t>MJ-Warehouse-5124001-048</t>
  </si>
  <si>
    <t>MJ-Warehouse-5124001-056</t>
  </si>
  <si>
    <t>MJ-Warehouse-5124001-055</t>
  </si>
  <si>
    <t>MJ-Warehouse-5124001-054</t>
  </si>
  <si>
    <t>MJ-Warehouse-5122005-047</t>
  </si>
  <si>
    <t>MJ-Warehouse-5122003-045</t>
  </si>
  <si>
    <t>MJ-Warehouse-5122003-043</t>
  </si>
  <si>
    <t>MJ-Warehouse-5121002-042</t>
  </si>
  <si>
    <t>MJ-Warehouse-5115002-022</t>
  </si>
  <si>
    <t>Pending Inspection Stage</t>
  </si>
  <si>
    <t>Inspection Closed</t>
  </si>
  <si>
    <t>O/S Inspection</t>
  </si>
  <si>
    <t>Total Defect</t>
  </si>
  <si>
    <t>Defect Description</t>
  </si>
  <si>
    <t>Major Defect</t>
  </si>
  <si>
    <t>Minor Defect</t>
  </si>
  <si>
    <t>Inspection</t>
  </si>
  <si>
    <t>Inspection, Defect</t>
  </si>
  <si>
    <t>Maintenance Job Summary</t>
  </si>
  <si>
    <t>Maintenance Holding Points</t>
  </si>
  <si>
    <t>Total Work Order</t>
  </si>
  <si>
    <t>Total Inspections</t>
  </si>
  <si>
    <t>Inspections Closed</t>
  </si>
  <si>
    <t>Inspections O/S</t>
  </si>
  <si>
    <t>Total Job</t>
  </si>
  <si>
    <t>Job Closed</t>
  </si>
  <si>
    <t>Job O/S</t>
  </si>
  <si>
    <t>Job Progress (%)</t>
  </si>
  <si>
    <t>Ariff</t>
  </si>
  <si>
    <t>Hamid</t>
  </si>
  <si>
    <t>HOD</t>
  </si>
  <si>
    <t>RFI Scheduled</t>
  </si>
  <si>
    <t>Signed 3/4</t>
  </si>
  <si>
    <t>Signed 2/4</t>
  </si>
  <si>
    <t>Client Cancelled</t>
  </si>
  <si>
    <t>Rejected during proposal phase</t>
  </si>
  <si>
    <t>Duplicated Job with existing Work Order</t>
  </si>
  <si>
    <t>Defect</t>
  </si>
  <si>
    <t>Facility Area</t>
  </si>
  <si>
    <t>Planned Completion Date</t>
  </si>
  <si>
    <t>Short WO</t>
  </si>
  <si>
    <t>WO lookup</t>
  </si>
  <si>
    <t>Short WO Lookup</t>
  </si>
  <si>
    <t>MJ lookup</t>
  </si>
  <si>
    <t>Missing Equipment Label</t>
  </si>
  <si>
    <t>Incomplete Maintenance Record</t>
  </si>
  <si>
    <t>Incorrect Asset Tag</t>
  </si>
  <si>
    <t>Checklist Not Signed</t>
  </si>
  <si>
    <t>Calibration Record Pending</t>
  </si>
  <si>
    <t>Poor Cable Management</t>
  </si>
  <si>
    <t>Paint Touch-Up Required</t>
  </si>
  <si>
    <t>Minor Leak Stain</t>
  </si>
  <si>
    <t>Temporary Marking Missing</t>
  </si>
  <si>
    <t>Final Inspection Pending</t>
  </si>
  <si>
    <t>Photo Evidence Missing</t>
  </si>
  <si>
    <t>Supervisor Acknowledgement Pending</t>
  </si>
  <si>
    <t>Worn out cable ties</t>
  </si>
  <si>
    <t>Missing physical receipt of purchase</t>
  </si>
  <si>
    <t>Electrical Safety Non-Compliance</t>
  </si>
  <si>
    <t>Structural Integrity Issue</t>
  </si>
  <si>
    <t>Fire Protection System Incomplete</t>
  </si>
  <si>
    <t>Mechanical System Malfunction</t>
  </si>
  <si>
    <t>Regulatory Approval Pending</t>
  </si>
  <si>
    <t>Pending MJ number from Commissoning</t>
  </si>
  <si>
    <t>Pending MJ completion inspection</t>
  </si>
  <si>
    <t>Pending MJ Tag</t>
  </si>
  <si>
    <t>Pending MJ Inspection</t>
  </si>
  <si>
    <t>Target WK</t>
  </si>
  <si>
    <t>Closed</t>
  </si>
  <si>
    <t>Week</t>
  </si>
  <si>
    <t>Close Date</t>
  </si>
  <si>
    <t>Row Labels</t>
  </si>
  <si>
    <t>Grand Total</t>
  </si>
  <si>
    <t>Description</t>
  </si>
  <si>
    <t>SEARCH</t>
  </si>
  <si>
    <t>Daily Defect Clearence</t>
  </si>
  <si>
    <t>Defect Type</t>
  </si>
  <si>
    <t>Defect ID</t>
  </si>
  <si>
    <t>Work Order Number</t>
  </si>
  <si>
    <t>Remarks</t>
  </si>
  <si>
    <t>WO Defect Closure (%)</t>
  </si>
  <si>
    <t>Major</t>
  </si>
  <si>
    <t>Minor</t>
  </si>
  <si>
    <t>Surface Rust Observed</t>
  </si>
  <si>
    <t>Count of Defect ID</t>
  </si>
  <si>
    <t>Column Labels</t>
  </si>
  <si>
    <t>Outstanding Defect</t>
  </si>
  <si>
    <t>Info to Display</t>
  </si>
  <si>
    <t>WK 42 (27')</t>
  </si>
  <si>
    <t>WK 43 (27')</t>
  </si>
  <si>
    <t>WK 44 (27')</t>
  </si>
  <si>
    <t>WK 45 (27')</t>
  </si>
  <si>
    <t>WK 46 (27')</t>
  </si>
  <si>
    <t>WK 47 (27')</t>
  </si>
  <si>
    <t>WK 41 (27')</t>
  </si>
  <si>
    <t>List of Defects</t>
  </si>
  <si>
    <t>Pending to Assign</t>
  </si>
  <si>
    <t>ELEC</t>
  </si>
  <si>
    <t>Electrical</t>
  </si>
  <si>
    <t>MECH</t>
  </si>
  <si>
    <t>Mechanical</t>
  </si>
  <si>
    <t>CIV</t>
  </si>
  <si>
    <t>Civil / Structural</t>
  </si>
  <si>
    <t>PLMB</t>
  </si>
  <si>
    <t>Plumbing</t>
  </si>
  <si>
    <t>FIRE</t>
  </si>
  <si>
    <t>Fire Protection</t>
  </si>
  <si>
    <t>HVAC</t>
  </si>
  <si>
    <t>INST</t>
  </si>
  <si>
    <t>Instrumentation</t>
  </si>
  <si>
    <t>IT</t>
  </si>
  <si>
    <t>SAF</t>
  </si>
  <si>
    <t>Safety</t>
  </si>
  <si>
    <t>GEN</t>
  </si>
  <si>
    <t>General</t>
  </si>
  <si>
    <t>CTRL</t>
  </si>
  <si>
    <t>Control Systems</t>
  </si>
  <si>
    <t>PWR</t>
  </si>
  <si>
    <t>Power</t>
  </si>
  <si>
    <t>OPS</t>
  </si>
  <si>
    <t>Operations</t>
  </si>
  <si>
    <t>QA</t>
  </si>
  <si>
    <t>Quality Assurance</t>
  </si>
  <si>
    <t>INS</t>
  </si>
  <si>
    <t>DRN</t>
  </si>
  <si>
    <t>Drainage</t>
  </si>
  <si>
    <t>DOC</t>
  </si>
  <si>
    <t>Documentation</t>
  </si>
  <si>
    <t>LIFT</t>
  </si>
  <si>
    <t>COOL</t>
  </si>
  <si>
    <t>Cooling System</t>
  </si>
  <si>
    <t>WO-Main_Building-HVAC-8281A</t>
  </si>
  <si>
    <t>WO-Main_Building-CIV-8222A</t>
  </si>
  <si>
    <t>WO-Main_Building-HVAC-8281B</t>
  </si>
  <si>
    <t>WO-Main_Building-HVAC-8236</t>
  </si>
  <si>
    <t>WO-Main_Building-HVAC-8228</t>
  </si>
  <si>
    <t>WO-Main_Building-GEN-8611</t>
  </si>
  <si>
    <t>WO-Warehouse-PLMB-8226</t>
  </si>
  <si>
    <t>WO-Main_Building-GEN-8605</t>
  </si>
  <si>
    <t>WO-Main_Building-ELEC-8216A</t>
  </si>
  <si>
    <t>WO-Main_Building-INST-8206</t>
  </si>
  <si>
    <t>WO-Main_Building-HVAC-8285</t>
  </si>
  <si>
    <t>WO-Main_Building-GEN-8608</t>
  </si>
  <si>
    <t>WO-Main_Building-HVAC-8286</t>
  </si>
  <si>
    <t>WO-Main_Building-INS-8282</t>
  </si>
  <si>
    <t>WO-Warehouse-ELEC-8208A</t>
  </si>
  <si>
    <t>WO-Warehouse-FIRE-8242</t>
  </si>
  <si>
    <t>WO-Warehouse-ELEC-8208B</t>
  </si>
  <si>
    <t>WO-Warehouse-ELEC-8301</t>
  </si>
  <si>
    <t>WO-Cooling_House-CIV-4395</t>
  </si>
  <si>
    <t>WO-Warehouse-CIV-8227</t>
  </si>
  <si>
    <t>WO-Cooling_House-LIFT-4202</t>
  </si>
  <si>
    <t>WO-Cooling_House-LIFT-4201</t>
  </si>
  <si>
    <t>WO-Cooling_House-CIV-4305</t>
  </si>
  <si>
    <t>WO-Cooling_House-MECH-4306</t>
  </si>
  <si>
    <t>WO-Cooling_House-HVAC-4328</t>
  </si>
  <si>
    <t>WO-Cooling_House-LIFT-4201A</t>
  </si>
  <si>
    <t>WO-Cooling_House-LIFT-4201B</t>
  </si>
  <si>
    <t>WO-Warehouse-PLMB-8229</t>
  </si>
  <si>
    <t>WO-Cooling_House-DOC-4311</t>
  </si>
  <si>
    <t>WO-Cooling_House-PLMB-4267</t>
  </si>
  <si>
    <t>WO-Cooling_House-CIV-4408</t>
  </si>
  <si>
    <t>WO-Cooling_House-DOC-4372</t>
  </si>
  <si>
    <t>WO-Cooling_House-DOC-4335</t>
  </si>
  <si>
    <t>WO-Warehouse-ELEC-8244</t>
  </si>
  <si>
    <t>WO-Warehouse-MECH-8255</t>
  </si>
  <si>
    <t>WO-Warehouse-MECH-8254</t>
  </si>
  <si>
    <t>WO-Warehouse-MECH-8253</t>
  </si>
  <si>
    <t>WO-Warehouse-CIV-8243</t>
  </si>
  <si>
    <t>WO-Main_Building-CIV-8238</t>
  </si>
  <si>
    <t>WO-Main_Building-PLMB-8203</t>
  </si>
  <si>
    <t>WO-Main_Building-ELEC-8280</t>
  </si>
  <si>
    <t>WO-Main_Building-HVAC-8232</t>
  </si>
  <si>
    <t>WO-Main_Building-HVAC-8235</t>
  </si>
  <si>
    <t>WO-Main_Building-ELEC-8219</t>
  </si>
  <si>
    <t>WO-Main_Building-ELEC-8218</t>
  </si>
  <si>
    <t>WO-Main_Building-ELEC-8207</t>
  </si>
  <si>
    <t>WO-Main_Building-ELEC-8205</t>
  </si>
  <si>
    <t>WO-Main_Building-HVAC-8202</t>
  </si>
  <si>
    <t>WO-Main_Building-CIV-8251A</t>
  </si>
  <si>
    <t>WO-Cooling_House-IT-4308</t>
  </si>
  <si>
    <t>WO-Cooling_House-IT-4303</t>
  </si>
  <si>
    <t>WO-Cooling_House-IT-4302</t>
  </si>
  <si>
    <t>WO-Cooling_House-SAF-4296</t>
  </si>
  <si>
    <t>WO-Cooling_House-GEN-4338</t>
  </si>
  <si>
    <t>WO-Cooling_House-GEN-4298</t>
  </si>
  <si>
    <t>WO-Cooling_House-CIV-4266</t>
  </si>
  <si>
    <t>WO-Cooling_House-CTRL-4320</t>
  </si>
  <si>
    <t>WO-Cooling_House-PWR-4262B</t>
  </si>
  <si>
    <t>WO-Main_Building-CIV-8215A</t>
  </si>
  <si>
    <t>WO-Main_Building-CIV-8239A</t>
  </si>
  <si>
    <t>WO-Main_Building-OPS-8662</t>
  </si>
  <si>
    <t>WO-Main_Building-GEN-8666</t>
  </si>
  <si>
    <t>WO-Main_Building-GEN-8665</t>
  </si>
  <si>
    <t>WO-Main_Building-SAF-8661</t>
  </si>
  <si>
    <t>WO-Main_Building-SAF-8660</t>
  </si>
  <si>
    <t>WO-Main_Building-SAF-8658</t>
  </si>
  <si>
    <t>WO-Main_Building-SAF-8657</t>
  </si>
  <si>
    <t>WO-Main_Building-SAF-8655</t>
  </si>
  <si>
    <t>WO-Main_Building-SAF-8654</t>
  </si>
  <si>
    <t>WO-Main_Building-SAF-8652</t>
  </si>
  <si>
    <t>WO-Main_Building-SAF-8651</t>
  </si>
  <si>
    <t>WO-Main_Building-SAF-8649</t>
  </si>
  <si>
    <t>WO-Main_Building-SAF-8648</t>
  </si>
  <si>
    <t>WO-Main_Building-SAF-8646</t>
  </si>
  <si>
    <t>WO-Main_Building-SAF-8645</t>
  </si>
  <si>
    <t>WO-Main_Building-SAF-8643</t>
  </si>
  <si>
    <t>WO-Main_Building-SAF-8642</t>
  </si>
  <si>
    <t>WO-Main_Building-SAF-8640</t>
  </si>
  <si>
    <t>WO-Main_Building-SAF-8639</t>
  </si>
  <si>
    <t>WO-Main_Building-SAF-8637</t>
  </si>
  <si>
    <t>WO-Main_Building-SAF-8636</t>
  </si>
  <si>
    <t>WO-Main_Building-SAF-8634</t>
  </si>
  <si>
    <t>WO-Main_Building-SAF-8633</t>
  </si>
  <si>
    <t>WO-Main_Building-SAF-8631</t>
  </si>
  <si>
    <t>WO-Main_Building-SAF-8630</t>
  </si>
  <si>
    <t>WO-Main_Building-SAF-8628</t>
  </si>
  <si>
    <t>WO-Main_Building-SAF-8627</t>
  </si>
  <si>
    <t>WO-Main_Building-SAF-8625</t>
  </si>
  <si>
    <t>WO-Main_Building-SAF-8624</t>
  </si>
  <si>
    <t>WO-Main_Building-SAF-8622</t>
  </si>
  <si>
    <t>WO-Main_Building-SAF-8621</t>
  </si>
  <si>
    <t>WO-Main_Building-SAF-8619</t>
  </si>
  <si>
    <t>WO-Main_Building-SAF-8618</t>
  </si>
  <si>
    <t>WO-Main_Building-GEN-8616</t>
  </si>
  <si>
    <t>WO-Main_Building-GEN-8615</t>
  </si>
  <si>
    <t>WO-Main_Building-GEN-8613</t>
  </si>
  <si>
    <t>WO-Main_Building-GEN-8612</t>
  </si>
  <si>
    <t>WO-Main_Building-GEN-8610</t>
  </si>
  <si>
    <t>WO-Main_Building-GEN-8609</t>
  </si>
  <si>
    <t>WO-Main_Building-GEN-8607</t>
  </si>
  <si>
    <t>WO-Main_Building-GEN-8606</t>
  </si>
  <si>
    <t>WO-Main_Building-MECH-8667</t>
  </si>
  <si>
    <t>WO-Main_Building-QA-8604</t>
  </si>
  <si>
    <t>WO-Main_Building-QA-8603</t>
  </si>
  <si>
    <t>WO-Main_Building-QA-8602</t>
  </si>
  <si>
    <t>WO-Main_Building-QA-8601</t>
  </si>
  <si>
    <t>WO-Main_Building-GEN-8258</t>
  </si>
  <si>
    <t>WO-Main_Building-MECH-8293</t>
  </si>
  <si>
    <t>WO-Main_Building-SAF-8321</t>
  </si>
  <si>
    <t>WO-Main_Building-INS-8339</t>
  </si>
  <si>
    <t>WO-Main_Building-DRN-8291</t>
  </si>
  <si>
    <t>WO-Main_Building-DRN-8290</t>
  </si>
  <si>
    <t>WO-Main_Building-DRN-8289</t>
  </si>
  <si>
    <t>WO-Main_Building-DRN-8288</t>
  </si>
  <si>
    <t>WO-Main_Building-PLMB-8204</t>
  </si>
  <si>
    <t>WO-Main_Building-HVAC-8298</t>
  </si>
  <si>
    <t>WO-Main_Building-CTRL-8201</t>
  </si>
  <si>
    <t>WO-Main_Building-DOC-8330</t>
  </si>
  <si>
    <t>WO-Main_Building-MECH-8313</t>
  </si>
  <si>
    <t>WO-Main_Building-HVAC-8299</t>
  </si>
  <si>
    <t>WO-Cooling_House-GEN-4377</t>
  </si>
  <si>
    <t>WO-Cooling_House-DOC-4239</t>
  </si>
  <si>
    <t>WO-Cooling_House-DOC-4376</t>
  </si>
  <si>
    <t>WO-Cooling_House-MECH-4361</t>
  </si>
  <si>
    <t>WO-Cooling_House-MECH-4360</t>
  </si>
  <si>
    <t>WO-Cooling_House-SAF-4365</t>
  </si>
  <si>
    <t>WO-Cooling_House-QA-4364</t>
  </si>
  <si>
    <t>WO-Cooling_House-INS-4363</t>
  </si>
  <si>
    <t>WO-Cooling_House-INS-4362</t>
  </si>
  <si>
    <t>WO-Cooling_House-DRN-4359</t>
  </si>
  <si>
    <t>WO-Cooling_House-DRN-4357</t>
  </si>
  <si>
    <t>WO-Cooling_House-LIFT-4356</t>
  </si>
  <si>
    <t>WO-Cooling_House-LIFT-4355</t>
  </si>
  <si>
    <t>WO-Cooling_House-LIFT-4352</t>
  </si>
  <si>
    <t>WO-Cooling_House-LIFT-4351</t>
  </si>
  <si>
    <t>WO-Cooling_House-CIV-4350</t>
  </si>
  <si>
    <t>WO-Cooling_House-CIV-4349</t>
  </si>
  <si>
    <t>WO-Cooling_House-PLMB-4348</t>
  </si>
  <si>
    <t>WO-Cooling_House-HVAC-4226</t>
  </si>
  <si>
    <t>WO-Main_Building-MECH-8669</t>
  </si>
  <si>
    <t>WO-Main_Building-SAF-8668</t>
  </si>
  <si>
    <t>WO-Main_Building-COOL-8323A</t>
  </si>
  <si>
    <t>WO-Main_Building-COOL-8324A</t>
  </si>
  <si>
    <t>Trade Codes</t>
  </si>
  <si>
    <t>Full Name</t>
  </si>
  <si>
    <t>Trades</t>
  </si>
  <si>
    <t>Stage 1</t>
  </si>
  <si>
    <t>Stage 2</t>
  </si>
  <si>
    <t>Stage 3</t>
  </si>
  <si>
    <t>Stage 4</t>
  </si>
  <si>
    <t>IT/Network</t>
  </si>
  <si>
    <t>LIFT/Hoist</t>
  </si>
  <si>
    <t>Operations Trade Code</t>
  </si>
  <si>
    <t>Trade Full Name</t>
  </si>
  <si>
    <t xml:space="preserve">Operational Issue &amp; Completion Tracking System
</t>
  </si>
  <si>
    <t>Purpose: Centralized tracking of work orders, inspection stages, and defects with automated status logic, summaries, and dashboards</t>
  </si>
  <si>
    <t>Key Automation &amp; Logic</t>
  </si>
  <si>
    <t>Business Rules Summary</t>
  </si>
  <si>
    <t>File Change Log</t>
  </si>
  <si>
    <t>Date</t>
  </si>
  <si>
    <t>Change</t>
  </si>
  <si>
    <t>By</t>
  </si>
  <si>
    <t>Initial System Build</t>
  </si>
  <si>
    <t>Muhammad Ariff Nadzaruddin Bin Mohamad Hamid</t>
  </si>
  <si>
    <t>How To Use The File</t>
  </si>
  <si>
    <r>
      <t xml:space="preserve">1. Update </t>
    </r>
    <r>
      <rPr>
        <b/>
        <sz val="11"/>
        <color theme="1"/>
        <rFont val="Calibri"/>
        <family val="2"/>
        <scheme val="minor"/>
      </rPr>
      <t>Maintenance Job (MJ) / Work Orders (WO) Inspection / Defect data</t>
    </r>
    <r>
      <rPr>
        <sz val="11"/>
        <color theme="1"/>
        <rFont val="Calibri"/>
        <family val="2"/>
        <scheme val="minor"/>
      </rPr>
      <t xml:space="preserve"> in input sheets</t>
    </r>
  </si>
  <si>
    <t>3. VBA buttons update MJ and WO inspection statuses</t>
  </si>
  <si>
    <r>
      <t xml:space="preserve">4. Review </t>
    </r>
    <r>
      <rPr>
        <b/>
        <sz val="11"/>
        <color theme="1"/>
        <rFont val="Calibri"/>
        <family val="2"/>
        <scheme val="minor"/>
      </rPr>
      <t>Dashboard, KPI Summary, and Holding Point Items</t>
    </r>
  </si>
  <si>
    <t>- Status calculations via nested formulas (IFS, LET, LOOKUP)</t>
  </si>
  <si>
    <t>- Automated defect consolidation using Power Query</t>
  </si>
  <si>
    <t>- Business rules applied consistently across inspections</t>
  </si>
  <si>
    <t>2. Inspection completion required before job closure</t>
  </si>
  <si>
    <t>1. Major defects block closure (except for special cases)</t>
  </si>
  <si>
    <t>3. Status is system-generated; manual overrides discouraged unless proven necessary</t>
  </si>
  <si>
    <t>2. Power Query consolidates and refreshes outstanding defect logic</t>
  </si>
  <si>
    <t>- VBA-driven job and inspection stage updates are button-triggered to prevent unintended data changes</t>
  </si>
  <si>
    <t>Short Input</t>
  </si>
  <si>
    <t>Inset WO/MJ/Defect ID Here</t>
  </si>
  <si>
    <t>Plan to complete next week</t>
  </si>
  <si>
    <t>Clients have issued a new ticket</t>
  </si>
  <si>
    <t>Warehouse-CIV-8227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</si>
</sst>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0">
    <font>
      <sz val="11"/>
      <color theme="1"/>
      <name val="Calibri"/>
      <family val="2"/>
      <scheme val="minor"/>
    </font>
    <font>
      <sz val="10"/>
      <color theme="1"/>
      <name val="Arial"/>
      <family val="2"/>
    </font>
    <font>
      <b/>
      <sz val="12"/>
      <color theme="1"/>
      <name val="Calibri"/>
      <family val="2"/>
      <scheme val="minor"/>
    </font>
    <font>
      <sz val="8"/>
      <name val="Calibri"/>
      <family val="2"/>
      <scheme val="minor"/>
    </font>
    <font>
      <sz val="11"/>
      <color theme="0"/>
      <name val="Calibri"/>
      <family val="2"/>
      <scheme val="minor"/>
    </font>
    <font>
      <sz val="11"/>
      <color theme="1"/>
      <name val="Calibri"/>
      <family val="2"/>
      <scheme val="minor"/>
    </font>
    <font>
      <b/>
      <sz val="18"/>
      <color theme="1"/>
      <name val="Calibri"/>
      <family val="2"/>
      <scheme val="minor"/>
    </font>
    <font>
      <b/>
      <sz val="16"/>
      <color theme="1"/>
      <name val="Calibri"/>
      <family val="2"/>
      <scheme val="minor"/>
    </font>
    <font>
      <sz val="11"/>
      <color theme="1"/>
      <name val="Calibri"/>
      <family val="2"/>
      <charset val="129"/>
      <scheme val="minor"/>
    </font>
    <font>
      <b/>
      <sz val="11"/>
      <color theme="1"/>
      <name val="Calibri"/>
      <family val="2"/>
      <scheme val="minor"/>
    </font>
    <font>
      <sz val="11"/>
      <color rgb="FF000000"/>
      <name val="Calibri"/>
      <family val="2"/>
    </font>
    <font>
      <sz val="11"/>
      <name val="Calibri"/>
      <family val="2"/>
      <scheme val="minor"/>
    </font>
    <font>
      <b/>
      <sz val="11"/>
      <color theme="0"/>
      <name val="Calibri"/>
      <family val="2"/>
      <scheme val="minor"/>
    </font>
    <font>
      <sz val="11"/>
      <color theme="1"/>
      <name val="Calibri"/>
      <family val="2"/>
    </font>
    <font>
      <b/>
      <sz val="16"/>
      <color theme="1"/>
      <name val="Arial"/>
      <family val="2"/>
    </font>
    <font>
      <sz val="10"/>
      <color theme="1"/>
      <name val="Calibri"/>
      <family val="2"/>
    </font>
    <font>
      <b/>
      <sz val="11"/>
      <color theme="0"/>
      <name val="Calibri"/>
      <family val="2"/>
    </font>
    <font>
      <b/>
      <sz val="12"/>
      <color theme="0"/>
      <name val="Calibri"/>
      <family val="2"/>
      <scheme val="minor"/>
    </font>
    <font>
      <b/>
      <sz val="13.5"/>
      <color theme="1"/>
      <name val="Calibri"/>
      <family val="2"/>
      <scheme val="minor"/>
    </font>
    <font>
      <sz val="12"/>
      <color theme="1"/>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rgb="FF00206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0070C0"/>
        <bgColor indexed="64"/>
      </patternFill>
    </fill>
    <fill>
      <patternFill patternType="solid">
        <fgColor theme="4" tint="0.79998168889431442"/>
        <bgColor indexed="64"/>
      </patternFill>
    </fill>
    <fill>
      <patternFill patternType="solid">
        <fgColor rgb="FF00B050"/>
        <bgColor indexed="64"/>
      </patternFill>
    </fill>
    <fill>
      <patternFill patternType="solid">
        <fgColor theme="2"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s>
  <cellStyleXfs count="28">
    <xf numFmtId="0" fontId="0" fillId="0" borderId="0"/>
    <xf numFmtId="0" fontId="1" fillId="0" borderId="0" applyNumberFormat="0" applyFont="0" applyFill="0" applyBorder="0" applyProtection="0">
      <alignment horizontal="left"/>
    </xf>
    <xf numFmtId="0" fontId="1" fillId="0" borderId="0"/>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14" fontId="1" fillId="0" borderId="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0" fontId="1" fillId="0" borderId="0" applyNumberFormat="0" applyFont="0" applyFill="0" applyBorder="0" applyProtection="0">
      <alignment horizontal="left"/>
    </xf>
    <xf numFmtId="9" fontId="5" fillId="0" borderId="0" applyFont="0" applyFill="0" applyBorder="0" applyAlignment="0" applyProtection="0"/>
    <xf numFmtId="0" fontId="5" fillId="0" borderId="0"/>
    <xf numFmtId="0" fontId="8" fillId="0" borderId="0">
      <alignment vertical="center"/>
    </xf>
    <xf numFmtId="0" fontId="5" fillId="0" borderId="0"/>
    <xf numFmtId="0" fontId="1" fillId="0" borderId="0" applyNumberFormat="0" applyFont="0" applyFill="0" applyBorder="0" applyProtection="0">
      <alignment horizontal="left"/>
    </xf>
  </cellStyleXfs>
  <cellXfs count="112">
    <xf numFmtId="0" fontId="0" fillId="0" borderId="0" xfId="0"/>
    <xf numFmtId="0" fontId="0" fillId="0" borderId="1" xfId="0" applyBorder="1" applyAlignment="1">
      <alignment horizontal="center"/>
    </xf>
    <xf numFmtId="0" fontId="0" fillId="0" borderId="0" xfId="0" applyAlignment="1">
      <alignment horizontal="center"/>
    </xf>
    <xf numFmtId="164" fontId="0" fillId="0" borderId="1" xfId="0" applyNumberFormat="1" applyBorder="1" applyAlignment="1">
      <alignment horizontal="center"/>
    </xf>
    <xf numFmtId="0" fontId="0" fillId="0" borderId="1" xfId="0" applyBorder="1"/>
    <xf numFmtId="164" fontId="0" fillId="0" borderId="1" xfId="0" applyNumberFormat="1" applyBorder="1"/>
    <xf numFmtId="164" fontId="0" fillId="4" borderId="1" xfId="0" applyNumberFormat="1" applyFill="1" applyBorder="1" applyAlignment="1">
      <alignment horizontal="center"/>
    </xf>
    <xf numFmtId="0" fontId="0" fillId="4" borderId="1" xfId="0" applyFill="1" applyBorder="1" applyAlignment="1">
      <alignment horizontal="center"/>
    </xf>
    <xf numFmtId="0" fontId="0" fillId="4" borderId="1" xfId="0" applyFill="1" applyBorder="1"/>
    <xf numFmtId="164" fontId="0" fillId="0" borderId="0" xfId="0" applyNumberFormat="1" applyAlignment="1">
      <alignment horizontal="center"/>
    </xf>
    <xf numFmtId="164" fontId="0" fillId="0" borderId="0" xfId="0" applyNumberFormat="1"/>
    <xf numFmtId="0" fontId="0" fillId="0" borderId="1" xfId="0" applyBorder="1" applyAlignment="1">
      <alignment horizontal="center" vertical="center"/>
    </xf>
    <xf numFmtId="16" fontId="0" fillId="0" borderId="0" xfId="0" quotePrefix="1" applyNumberFormat="1"/>
    <xf numFmtId="164" fontId="4" fillId="7" borderId="1" xfId="0" applyNumberFormat="1" applyFont="1" applyFill="1" applyBorder="1" applyAlignment="1">
      <alignment horizontal="center"/>
    </xf>
    <xf numFmtId="0" fontId="4" fillId="7" borderId="1" xfId="0" applyFont="1" applyFill="1" applyBorder="1" applyAlignment="1">
      <alignment horizontal="center"/>
    </xf>
    <xf numFmtId="0" fontId="4" fillId="7" borderId="1" xfId="0" applyFont="1" applyFill="1" applyBorder="1"/>
    <xf numFmtId="14" fontId="0" fillId="0" borderId="0" xfId="0" applyNumberFormat="1"/>
    <xf numFmtId="0" fontId="6" fillId="0" borderId="0" xfId="0" applyFont="1"/>
    <xf numFmtId="0" fontId="7" fillId="0" borderId="0" xfId="0" applyFont="1" applyAlignment="1">
      <alignment horizontal="right"/>
    </xf>
    <xf numFmtId="0" fontId="0" fillId="4" borderId="1" xfId="0" applyFill="1" applyBorder="1" applyAlignment="1">
      <alignment horizontal="left"/>
    </xf>
    <xf numFmtId="0" fontId="4" fillId="7" borderId="1" xfId="0" applyFont="1" applyFill="1" applyBorder="1" applyAlignment="1">
      <alignment horizontal="left"/>
    </xf>
    <xf numFmtId="164" fontId="0" fillId="4" borderId="1" xfId="0" applyNumberFormat="1" applyFill="1" applyBorder="1"/>
    <xf numFmtId="164" fontId="4" fillId="7" borderId="1" xfId="0" applyNumberFormat="1" applyFont="1" applyFill="1" applyBorder="1"/>
    <xf numFmtId="164" fontId="4" fillId="0" borderId="1" xfId="0" applyNumberFormat="1" applyFont="1" applyBorder="1" applyAlignment="1">
      <alignment horizontal="center"/>
    </xf>
    <xf numFmtId="0" fontId="0" fillId="9" borderId="0" xfId="0" applyFill="1" applyAlignment="1">
      <alignment horizontal="center"/>
    </xf>
    <xf numFmtId="0" fontId="0" fillId="9" borderId="0" xfId="0" applyFill="1"/>
    <xf numFmtId="164" fontId="0" fillId="4" borderId="1" xfId="0" applyNumberFormat="1" applyFill="1" applyBorder="1" applyAlignment="1">
      <alignment horizontal="left"/>
    </xf>
    <xf numFmtId="0" fontId="0" fillId="0" borderId="0" xfId="0" applyAlignment="1">
      <alignment horizontal="left"/>
    </xf>
    <xf numFmtId="0" fontId="0" fillId="0" borderId="1" xfId="0" applyBorder="1" applyAlignment="1">
      <alignment horizontal="left"/>
    </xf>
    <xf numFmtId="0" fontId="11" fillId="0" borderId="0" xfId="0" applyFont="1"/>
    <xf numFmtId="0" fontId="11" fillId="0" borderId="1" xfId="0" applyFont="1" applyBorder="1"/>
    <xf numFmtId="0" fontId="0" fillId="0" borderId="5" xfId="0" applyBorder="1" applyAlignment="1">
      <alignment horizontal="center" vertical="center"/>
    </xf>
    <xf numFmtId="0" fontId="0" fillId="0" borderId="6" xfId="0"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12" fillId="6" borderId="10" xfId="0" applyFont="1" applyFill="1" applyBorder="1" applyAlignment="1">
      <alignment horizontal="center" vertical="center"/>
    </xf>
    <xf numFmtId="0" fontId="12" fillId="6" borderId="2" xfId="0" applyFont="1" applyFill="1" applyBorder="1" applyAlignment="1">
      <alignment horizontal="center" vertical="center"/>
    </xf>
    <xf numFmtId="0" fontId="12" fillId="6" borderId="3" xfId="0" applyFont="1" applyFill="1" applyBorder="1" applyAlignment="1">
      <alignment horizontal="center" vertical="center"/>
    </xf>
    <xf numFmtId="0" fontId="12" fillId="6" borderId="4" xfId="0" applyFont="1" applyFill="1" applyBorder="1" applyAlignment="1">
      <alignment horizontal="center" vertical="center"/>
    </xf>
    <xf numFmtId="0" fontId="0" fillId="0" borderId="11" xfId="0" applyBorder="1" applyAlignment="1">
      <alignment horizontal="center" vertical="center"/>
    </xf>
    <xf numFmtId="0" fontId="0" fillId="0" borderId="0" xfId="0" applyAlignment="1">
      <alignment horizontal="left" vertical="center" indent="1"/>
    </xf>
    <xf numFmtId="0" fontId="12" fillId="6" borderId="2" xfId="0" applyFont="1" applyFill="1" applyBorder="1" applyAlignment="1">
      <alignment horizontal="center" vertical="center" wrapText="1"/>
    </xf>
    <xf numFmtId="0" fontId="12" fillId="6" borderId="3" xfId="0" applyFont="1" applyFill="1" applyBorder="1" applyAlignment="1">
      <alignment horizontal="center" vertical="center" wrapText="1"/>
    </xf>
    <xf numFmtId="0" fontId="12" fillId="6" borderId="13" xfId="0" applyFont="1" applyFill="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12" fillId="6" borderId="4" xfId="0" applyFont="1" applyFill="1" applyBorder="1" applyAlignment="1">
      <alignment horizontal="center" vertical="center" wrapText="1"/>
    </xf>
    <xf numFmtId="0" fontId="0" fillId="0" borderId="0" xfId="0" applyAlignment="1">
      <alignment horizontal="center" vertical="center"/>
    </xf>
    <xf numFmtId="0" fontId="1" fillId="0" borderId="0" xfId="2"/>
    <xf numFmtId="0" fontId="0" fillId="0" borderId="0" xfId="0" applyAlignment="1">
      <alignment vertical="center"/>
    </xf>
    <xf numFmtId="0" fontId="14" fillId="0" borderId="0" xfId="2" applyFont="1"/>
    <xf numFmtId="164" fontId="1" fillId="0" borderId="0" xfId="2" applyNumberFormat="1"/>
    <xf numFmtId="0" fontId="0" fillId="0" borderId="0" xfId="10" applyFont="1">
      <alignment horizontal="left"/>
    </xf>
    <xf numFmtId="0" fontId="0" fillId="0" borderId="0" xfId="0" applyAlignment="1">
      <alignment horizontal="center" wrapText="1"/>
    </xf>
    <xf numFmtId="0" fontId="16" fillId="10" borderId="14" xfId="1" applyFont="1" applyFill="1" applyBorder="1" applyAlignment="1">
      <alignment horizontal="center" vertical="center" wrapText="1"/>
    </xf>
    <xf numFmtId="0" fontId="13" fillId="0" borderId="0" xfId="2" applyFont="1" applyAlignment="1">
      <alignment horizontal="center" vertical="center" wrapText="1"/>
    </xf>
    <xf numFmtId="0" fontId="15" fillId="0" borderId="1" xfId="2" applyFont="1" applyBorder="1" applyAlignment="1">
      <alignment horizontal="center" vertical="center"/>
    </xf>
    <xf numFmtId="0" fontId="15" fillId="0" borderId="1" xfId="3" applyFont="1" applyFill="1" applyBorder="1" applyAlignment="1">
      <alignment horizontal="center" vertical="center"/>
    </xf>
    <xf numFmtId="0" fontId="15" fillId="0" borderId="1" xfId="4" applyFont="1" applyFill="1" applyBorder="1" applyAlignment="1">
      <alignment horizontal="center" vertical="center"/>
    </xf>
    <xf numFmtId="0" fontId="15" fillId="0" borderId="1" xfId="7" applyFont="1" applyBorder="1" applyAlignment="1">
      <alignment horizontal="center" vertical="center"/>
    </xf>
    <xf numFmtId="0" fontId="15" fillId="0" borderId="1" xfId="10" applyFont="1" applyFill="1" applyBorder="1" applyAlignment="1">
      <alignment horizontal="center" vertical="center"/>
    </xf>
    <xf numFmtId="0" fontId="15" fillId="0" borderId="1" xfId="20" applyFont="1" applyFill="1" applyBorder="1" applyAlignment="1">
      <alignment horizontal="left" vertical="center" wrapText="1"/>
    </xf>
    <xf numFmtId="164" fontId="15" fillId="0" borderId="1" xfId="2" applyNumberFormat="1" applyFont="1" applyBorder="1" applyAlignment="1">
      <alignment horizontal="center" vertical="center"/>
    </xf>
    <xf numFmtId="0" fontId="15" fillId="0" borderId="1" xfId="27" applyFont="1" applyFill="1" applyBorder="1" applyAlignment="1">
      <alignment horizontal="center" vertical="center"/>
    </xf>
    <xf numFmtId="9" fontId="0" fillId="0" borderId="1" xfId="23" applyFont="1" applyBorder="1" applyAlignment="1">
      <alignment horizontal="center" vertical="center"/>
    </xf>
    <xf numFmtId="0" fontId="15" fillId="0" borderId="1" xfId="10" applyFont="1" applyBorder="1" applyAlignment="1">
      <alignment horizontal="center" vertical="center"/>
    </xf>
    <xf numFmtId="0" fontId="15" fillId="0" borderId="1" xfId="27" applyFont="1" applyBorder="1" applyAlignment="1">
      <alignment horizontal="center" vertical="center"/>
    </xf>
    <xf numFmtId="0" fontId="0" fillId="0" borderId="0" xfId="0" applyAlignment="1">
      <alignment horizontal="left" vertical="center"/>
    </xf>
    <xf numFmtId="0" fontId="15" fillId="0" borderId="1" xfId="27" applyFont="1" applyBorder="1" applyAlignment="1">
      <alignment horizontal="left" vertical="center"/>
    </xf>
    <xf numFmtId="0" fontId="15" fillId="0" borderId="15" xfId="10" applyFont="1" applyBorder="1" applyAlignment="1">
      <alignment horizontal="center" vertical="center"/>
    </xf>
    <xf numFmtId="0" fontId="15" fillId="0" borderId="15" xfId="27" applyFont="1" applyBorder="1" applyAlignment="1">
      <alignment horizontal="center" vertical="center"/>
    </xf>
    <xf numFmtId="164" fontId="15" fillId="0" borderId="0" xfId="2" applyNumberFormat="1" applyFont="1" applyAlignment="1">
      <alignment horizontal="center" vertical="center"/>
    </xf>
    <xf numFmtId="0" fontId="9" fillId="0" borderId="0" xfId="0" applyFont="1"/>
    <xf numFmtId="0" fontId="0" fillId="0" borderId="0" xfId="0" pivotButton="1"/>
    <xf numFmtId="0" fontId="0" fillId="3" borderId="0" xfId="0" applyFill="1" applyAlignment="1">
      <alignment horizontal="left"/>
    </xf>
    <xf numFmtId="0" fontId="0" fillId="11" borderId="0" xfId="0" applyFill="1" applyAlignment="1">
      <alignment horizontal="left"/>
    </xf>
    <xf numFmtId="164" fontId="0" fillId="0" borderId="0" xfId="0" pivotButton="1" applyNumberFormat="1"/>
    <xf numFmtId="0" fontId="12" fillId="6" borderId="16" xfId="0" applyFont="1" applyFill="1" applyBorder="1" applyAlignment="1">
      <alignment horizontal="center" vertical="center"/>
    </xf>
    <xf numFmtId="0" fontId="12" fillId="6" borderId="17" xfId="0" applyFont="1" applyFill="1" applyBorder="1" applyAlignment="1">
      <alignment horizontal="center" vertical="center"/>
    </xf>
    <xf numFmtId="164" fontId="0" fillId="0" borderId="6" xfId="0" applyNumberFormat="1" applyBorder="1" applyAlignment="1">
      <alignment horizontal="center"/>
    </xf>
    <xf numFmtId="0" fontId="4" fillId="6" borderId="18"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20" xfId="0" applyFont="1" applyFill="1" applyBorder="1" applyAlignment="1">
      <alignment horizontal="center" vertical="center"/>
    </xf>
    <xf numFmtId="0" fontId="12" fillId="6" borderId="10" xfId="0" applyFont="1" applyFill="1" applyBorder="1" applyAlignment="1">
      <alignment horizontal="center" vertical="center" wrapText="1"/>
    </xf>
    <xf numFmtId="9" fontId="0" fillId="0" borderId="11" xfId="23" applyFont="1" applyBorder="1" applyAlignment="1">
      <alignment horizontal="right"/>
    </xf>
    <xf numFmtId="9" fontId="0" fillId="0" borderId="11" xfId="23" applyFont="1" applyBorder="1" applyAlignment="1">
      <alignment horizontal="center"/>
    </xf>
    <xf numFmtId="9" fontId="0" fillId="5" borderId="12" xfId="23" applyFont="1" applyFill="1" applyBorder="1" applyAlignment="1">
      <alignment horizontal="right"/>
    </xf>
    <xf numFmtId="0" fontId="17" fillId="6"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0" borderId="0" xfId="0" applyNumberFormat="1"/>
    <xf numFmtId="0" fontId="0" fillId="0" borderId="0" xfId="0" applyAlignment="1">
      <alignment wrapText="1"/>
    </xf>
    <xf numFmtId="0" fontId="18" fillId="0" borderId="0" xfId="0" applyFont="1" applyAlignment="1">
      <alignment vertical="center"/>
    </xf>
    <xf numFmtId="0" fontId="9" fillId="0" borderId="0" xfId="0" applyFont="1" applyAlignment="1">
      <alignment horizontal="left" vertical="center" indent="1"/>
    </xf>
    <xf numFmtId="0" fontId="0" fillId="0" borderId="21" xfId="0" applyBorder="1"/>
    <xf numFmtId="0" fontId="0" fillId="0" borderId="22" xfId="0" applyBorder="1"/>
    <xf numFmtId="0" fontId="12" fillId="6" borderId="23" xfId="0" applyFont="1" applyFill="1" applyBorder="1" applyAlignment="1">
      <alignment horizontal="center" vertical="center"/>
    </xf>
    <xf numFmtId="0" fontId="12" fillId="6" borderId="24" xfId="0" applyFont="1" applyFill="1" applyBorder="1" applyAlignment="1">
      <alignment horizontal="center" vertical="center"/>
    </xf>
    <xf numFmtId="0" fontId="0" fillId="0" borderId="25" xfId="0" applyBorder="1"/>
    <xf numFmtId="0" fontId="0" fillId="0" borderId="26" xfId="0" applyBorder="1"/>
    <xf numFmtId="0" fontId="6" fillId="0" borderId="0" xfId="0" applyFont="1" applyFill="1" applyAlignment="1">
      <alignment horizontal="center"/>
    </xf>
    <xf numFmtId="0" fontId="19" fillId="0" borderId="0" xfId="0" applyFont="1" applyAlignment="1">
      <alignment horizontal="center"/>
    </xf>
    <xf numFmtId="0" fontId="0" fillId="0" borderId="27" xfId="0" applyBorder="1"/>
    <xf numFmtId="0" fontId="0" fillId="0" borderId="0" xfId="0" applyAlignment="1">
      <alignment horizontal="left" vertical="center" wrapText="1"/>
    </xf>
    <xf numFmtId="0" fontId="0" fillId="0" borderId="0" xfId="0" quotePrefix="1" applyAlignment="1">
      <alignment horizontal="left" vertical="center"/>
    </xf>
    <xf numFmtId="0" fontId="0" fillId="0" borderId="0" xfId="0" quotePrefix="1"/>
    <xf numFmtId="0" fontId="0" fillId="13" borderId="0" xfId="0" applyFill="1"/>
  </cellXfs>
  <cellStyles count="28">
    <cellStyle name="Column0_Style" xfId="1" xr:uid="{3AEF503F-47D7-4AC0-A6B9-9A811B507AD6}"/>
    <cellStyle name="Column1_Style" xfId="3" xr:uid="{CF5F0173-A29C-494B-BFC3-D8657BCF0C19}"/>
    <cellStyle name="Column10_Style" xfId="12" xr:uid="{4E747BED-67F0-4AD3-98D4-D03B0855E2DB}"/>
    <cellStyle name="Column11_Style" xfId="13" xr:uid="{DE93FBF4-ACB7-45BC-912B-1DE2C493634B}"/>
    <cellStyle name="Column12_Style" xfId="14" xr:uid="{C19F7F28-FD7A-43F2-8EC7-5E7549901F7E}"/>
    <cellStyle name="Column13_Style" xfId="15" xr:uid="{9E694215-9FF7-4913-BC3A-16055FA3A1F0}"/>
    <cellStyle name="Column14_Style" xfId="16" xr:uid="{50007B9B-A81F-43BE-B88D-6C52A6F79DCE}"/>
    <cellStyle name="Column15_Style" xfId="17" xr:uid="{EAA6AEDD-E91B-49EC-853A-BF9A4A6D5AC6}"/>
    <cellStyle name="Column16_Style" xfId="18" xr:uid="{7665D173-46DA-4543-994F-6D7AA4573D38}"/>
    <cellStyle name="Column17_Style" xfId="19" xr:uid="{5FA534DE-EA66-4331-9944-BF7AB8D13C80}"/>
    <cellStyle name="Column18_Style" xfId="21" xr:uid="{409924EF-8C8D-45BF-A9F3-DE8C2F16F820}"/>
    <cellStyle name="Column19_Style" xfId="22" xr:uid="{BCE0DA7E-876C-433A-9640-12CC21CBA1D8}"/>
    <cellStyle name="Column2_Style" xfId="4" xr:uid="{E8A6D988-BF90-4FBD-9CE0-B846E4A67390}"/>
    <cellStyle name="Column27_Style" xfId="20" xr:uid="{231C046D-55EE-493A-A3F2-2D00FBCA0FB2}"/>
    <cellStyle name="Column29_Style" xfId="27" xr:uid="{A3F9FF1D-81FF-4C1E-897C-D6C076980A86}"/>
    <cellStyle name="Column3_Style" xfId="5" xr:uid="{CE7A209D-389B-4305-A96E-C987214FDDFE}"/>
    <cellStyle name="Column4_Style" xfId="6" xr:uid="{9582D13F-04A2-4AE7-9D90-0AF90B183708}"/>
    <cellStyle name="Column5_Style" xfId="7" xr:uid="{4C60D48C-BC85-49A1-BA93-AE31D42C5E74}"/>
    <cellStyle name="Column6_Style" xfId="8" xr:uid="{B5200BE9-EF49-4889-9EFB-A1E05E62524A}"/>
    <cellStyle name="Column7_Style" xfId="9" xr:uid="{7F62C999-D522-4965-85AC-3453EFC6606D}"/>
    <cellStyle name="Column8_Style" xfId="10" xr:uid="{8DED63D4-100C-490E-9A56-7FB1419C3FA4}"/>
    <cellStyle name="Column9_Style" xfId="11" xr:uid="{5C74ECD2-B871-45B9-9CB0-368760263962}"/>
    <cellStyle name="Normal" xfId="0" builtinId="0"/>
    <cellStyle name="Normal 2" xfId="2" xr:uid="{05B2D8B0-02A2-4E1D-AF7F-757D5AB46765}"/>
    <cellStyle name="Normal 2 2" xfId="25" xr:uid="{51CCB631-E5E0-4C2E-B0D2-3E7E9C5E84B9}"/>
    <cellStyle name="Normal 6" xfId="26" xr:uid="{38D39C54-62E8-4437-9FE6-B87351256197}"/>
    <cellStyle name="Percent" xfId="23" builtinId="5"/>
    <cellStyle name="표준 2" xfId="24" xr:uid="{92EB1CB3-C299-4798-BBDB-201DCD7BAF3C}"/>
  </cellStyles>
  <dxfs count="38">
    <dxf>
      <font>
        <color rgb="FF9C0006"/>
      </font>
      <fill>
        <patternFill>
          <bgColor rgb="FFFFC7CE"/>
        </patternFill>
      </fill>
    </dxf>
    <dxf>
      <font>
        <color rgb="FF9C0006"/>
      </font>
      <fill>
        <patternFill>
          <bgColor rgb="FFFFC7CE"/>
        </patternFill>
      </fill>
    </dxf>
    <dxf>
      <font>
        <b/>
        <i val="0"/>
        <color theme="2"/>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
      <numFmt numFmtId="164" formatCode="[$-409]d\-mmm\-yy;@"/>
    </dxf>
  </dxfs>
  <tableStyles count="0" defaultTableStyle="TableStyleMedium2" defaultPivotStyle="PivotStyleLight16"/>
  <colors>
    <mruColors>
      <color rgb="FF9933FF"/>
      <color rgb="FFFFFF00"/>
      <color rgb="FF9966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392655</xdr:colOff>
      <xdr:row>3</xdr:row>
      <xdr:rowOff>134472</xdr:rowOff>
    </xdr:from>
    <xdr:to>
      <xdr:col>14</xdr:col>
      <xdr:colOff>173832</xdr:colOff>
      <xdr:row>34</xdr:row>
      <xdr:rowOff>126851</xdr:rowOff>
    </xdr:to>
    <xdr:pic>
      <xdr:nvPicPr>
        <xdr:cNvPr id="3" name="Picture 2">
          <a:extLst>
            <a:ext uri="{FF2B5EF4-FFF2-40B4-BE49-F238E27FC236}">
              <a16:creationId xmlns:a16="http://schemas.microsoft.com/office/drawing/2014/main" id="{4C9B8195-621E-A30A-3916-C9C7F10BEC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2255" y="806825"/>
          <a:ext cx="7705977" cy="5765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45720</xdr:rowOff>
        </xdr:from>
        <xdr:to>
          <xdr:col>1</xdr:col>
          <xdr:colOff>1714500</xdr:colOff>
          <xdr:row>1</xdr:row>
          <xdr:rowOff>137160</xdr:rowOff>
        </xdr:to>
        <xdr:sp macro="" textlink="">
          <xdr:nvSpPr>
            <xdr:cNvPr id="8193" name="Update FVM"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ea typeface="Calibri"/>
                  <a:cs typeface="Calibri"/>
                </a:rPr>
                <a:t>Update MJ Status</a:t>
              </a:r>
            </a:p>
            <a:p>
              <a:pPr algn="ctr" rtl="0">
                <a:defRPr sz="1000"/>
              </a:pPr>
              <a:r>
                <a:rPr lang="en-MY"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0</xdr:row>
          <xdr:rowOff>76200</xdr:rowOff>
        </xdr:from>
        <xdr:to>
          <xdr:col>8</xdr:col>
          <xdr:colOff>685800</xdr:colOff>
          <xdr:row>1</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ea typeface="Calibri"/>
                  <a:cs typeface="Calibri"/>
                </a:rPr>
                <a:t>Update Inspection Status</a:t>
              </a:r>
            </a:p>
            <a:p>
              <a:pPr algn="ctr" rtl="0">
                <a:defRPr sz="1000"/>
              </a:pPr>
              <a:r>
                <a:rPr lang="en-MY" sz="1100" b="0" i="0" u="none" strike="noStrike" baseline="0">
                  <a:solidFill>
                    <a:srgbClr val="000000"/>
                  </a:solidFill>
                  <a:latin typeface="Calibri"/>
                  <a:ea typeface="Calibri"/>
                  <a:cs typeface="Calibri"/>
                </a:rPr>
                <a:t>TP ITR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iff Nadzaruddin" refreshedDate="46052.831665740741" createdVersion="8" refreshedVersion="8" minRefreshableVersion="3" recordCount="160" xr:uid="{18E36A4F-2BAB-46B7-866C-478C74277C2B}">
  <cacheSource type="worksheet">
    <worksheetSource name="Defect_Table"/>
  </cacheSource>
  <cacheFields count="12">
    <cacheField name="Defect ID" numFmtId="0">
      <sharedItems containsSemiMixedTypes="0" containsString="0" containsNumber="1" containsInteger="1" minValue="30624" maxValue="75570"/>
    </cacheField>
    <cacheField name="Status" numFmtId="0">
      <sharedItems count="3">
        <s v="Outstanding"/>
        <s v="Closed"/>
        <s v="Cancelled" u="1"/>
      </sharedItems>
    </cacheField>
    <cacheField name="Work Order Number" numFmtId="0">
      <sharedItems/>
    </cacheField>
    <cacheField name="Description" numFmtId="0">
      <sharedItems/>
    </cacheField>
    <cacheField name="Facility Area" numFmtId="0">
      <sharedItems count="3">
        <s v="Main_Building"/>
        <s v="Warehouse"/>
        <s v="Cooling_House"/>
      </sharedItems>
    </cacheField>
    <cacheField name="Trades" numFmtId="0">
      <sharedItems/>
    </cacheField>
    <cacheField name="Defect Type" numFmtId="0">
      <sharedItems count="2">
        <s v="Major"/>
        <s v="Minor"/>
      </sharedItems>
    </cacheField>
    <cacheField name="Remarks" numFmtId="0">
      <sharedItems containsNonDate="0" containsString="0" containsBlank="1"/>
    </cacheField>
    <cacheField name="WO Defect Closure (%)" numFmtId="9">
      <sharedItems containsSemiMixedTypes="0" containsString="0" containsNumber="1" minValue="0" maxValue="1"/>
    </cacheField>
    <cacheField name="Close Date" numFmtId="164">
      <sharedItems containsNonDate="0" containsDate="1" containsString="0" containsBlank="1" minDate="2026-01-08T00:00:00" maxDate="2027-11-29T00:00:00" count="85">
        <m/>
        <d v="2027-10-30T00:00:00"/>
        <d v="2027-11-24T00:00:00"/>
        <d v="2027-11-15T00:00:00"/>
        <d v="2027-10-25T00:00:00"/>
        <d v="2027-11-26T00:00:00"/>
        <d v="2027-11-10T00:00:00"/>
        <d v="2027-11-12T00:00:00"/>
        <d v="2027-10-24T00:00:00"/>
        <d v="2027-11-07T00:00:00"/>
        <d v="2027-10-31T00:00:00"/>
        <d v="2027-10-23T00:00:00"/>
        <d v="2027-11-25T00:00:00"/>
        <d v="2027-11-01T00:00:00"/>
        <d v="2027-11-16T00:00:00"/>
        <d v="2027-10-29T00:00:00"/>
        <d v="2027-11-13T00:00:00"/>
        <d v="2027-10-20T00:00:00"/>
        <d v="2027-10-27T00:00:00"/>
        <d v="2027-10-26T00:00:00"/>
        <d v="2027-11-11T00:00:00"/>
        <d v="2027-11-17T00:00:00"/>
        <d v="2027-11-27T00:00:00"/>
        <d v="2027-11-09T00:00:00"/>
        <d v="2027-11-23T00:00:00"/>
        <d v="2027-10-21T00:00:00"/>
        <d v="2027-11-21T00:00:00"/>
        <d v="2027-11-20T00:00:00"/>
        <d v="2027-11-18T00:00:00"/>
        <d v="2027-11-05T00:00:00"/>
        <d v="2027-11-08T00:00:00"/>
        <d v="2027-11-04T00:00:00"/>
        <d v="2027-11-03T00:00:00"/>
        <d v="2027-11-28T00:00:00"/>
        <d v="2027-11-14T00:00:00"/>
        <d v="2027-04-01T00:00:00" u="1"/>
        <d v="2027-02-21T00:00:00" u="1"/>
        <d v="2027-04-30T00:00:00" u="1"/>
        <d v="2027-02-02T00:00:00" u="1"/>
        <d v="2027-04-09T00:00:00" u="1"/>
        <d v="2027-01-22T00:00:00" u="1"/>
        <d v="2027-02-18T00:00:00" u="1"/>
        <d v="2027-04-27T00:00:00" u="1"/>
        <d v="2027-05-01T00:00:00" u="1"/>
        <d v="2027-02-01T00:00:00" u="1"/>
        <d v="2027-04-25T00:00:00" u="1"/>
        <d v="2027-03-20T00:00:00" u="1"/>
        <d v="2027-04-08T00:00:00" u="1"/>
        <d v="2027-02-11T00:00:00" u="1"/>
        <d v="2027-03-05T00:00:00" u="1"/>
        <d v="2027-03-06T00:00:00" u="1"/>
        <d v="2027-03-10T00:00:00" u="1"/>
        <d v="2027-02-24T00:00:00" u="1"/>
        <d v="2027-01-19T00:00:00" u="1"/>
        <d v="2027-01-05T00:00:00" u="1"/>
        <d v="2027-02-19T00:00:00" u="1"/>
        <d v="2027-01-30T00:00:00" u="1"/>
        <d v="2027-03-29T00:00:00" u="1"/>
        <d v="2027-01-25T00:00:00" u="1"/>
        <d v="2027-03-25T00:00:00" u="1"/>
        <d v="2027-02-25T00:00:00" u="1"/>
        <d v="2027-03-24T00:00:00" u="1"/>
        <d v="2027-04-21T00:00:00" u="1"/>
        <d v="2027-03-26T00:00:00" u="1"/>
        <d v="2027-03-15T00:00:00" u="1"/>
        <d v="2027-04-07T00:00:00" u="1"/>
        <d v="2027-04-14T00:00:00" u="1"/>
        <d v="2027-03-12T00:00:00" u="1"/>
        <d v="2027-02-23T00:00:00" u="1"/>
        <d v="2027-02-17T00:00:00" u="1"/>
        <d v="2027-03-03T00:00:00" u="1"/>
        <d v="2027-03-08T00:00:00" u="1"/>
        <d v="2027-04-10T00:00:00" u="1"/>
        <d v="2027-04-19T00:00:00" u="1"/>
        <d v="2027-02-09T00:00:00" u="1"/>
        <d v="2027-01-14T00:00:00" u="1"/>
        <d v="2027-04-22T00:00:00" u="1"/>
        <d v="2027-04-02T00:00:00" u="1"/>
        <d v="2027-01-13T00:00:00" u="1"/>
        <d v="2027-03-13T00:00:00" u="1"/>
        <d v="2027-04-24T00:00:00" u="1"/>
        <d v="2027-01-11T00:00:00" u="1"/>
        <d v="2027-03-18T00:00:00" u="1"/>
        <d v="2027-04-13T00:00:00" u="1"/>
        <d v="2026-01-08T00:00:00" u="1"/>
      </sharedItems>
    </cacheField>
    <cacheField name="Week" numFmtId="0">
      <sharedItems containsBlank="1" count="29">
        <s v=""/>
        <s v="WK 43 (27')"/>
        <s v="WK 46 (27')"/>
        <s v="WK 45 (27')"/>
        <s v="WK 42 (27')"/>
        <s v="WK 47 (27')"/>
        <s v="WK 44 (27')"/>
        <s v="WK 41 (27')"/>
        <s v="WK 48 (27')" u="1"/>
        <s v="WK 13 (27')" u="1"/>
        <s v="WK 8 (27')" u="1"/>
        <s v="WK 18 (27')" u="1"/>
        <s v="WK 5 (27')" u="1"/>
        <s v="WK 15 (27')" u="1"/>
        <s v="WK 4 (27')" u="1"/>
        <s v="WK 7 (27')" u="1"/>
        <s v="WK 17 (27')" u="1"/>
        <s v="WK 12 (27')" u="1"/>
        <s v="WK 14 (27')" u="1"/>
        <s v="WK 6 (27')" u="1"/>
        <s v="WK 10 (27')" u="1"/>
        <s v="WK 3 (27')" u="1"/>
        <s v="WK 1 (27')" u="1"/>
        <s v="WK 16 (27')" u="1"/>
        <s v="WK 11 (27')" u="1"/>
        <s v="WK 9 (27')" u="1"/>
        <s v="WK 2 (27')" u="1"/>
        <s v="WK 2 (26')" u="1"/>
        <m u="1"/>
      </sharedItems>
    </cacheField>
    <cacheField name="SEARCH"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
  <r>
    <n v="30624"/>
    <x v="0"/>
    <s v="WO-Main_Building-HVAC-8281A"/>
    <s v="Electrical Safety Non-Compliance"/>
    <x v="0"/>
    <s v="HVAC"/>
    <x v="0"/>
    <m/>
    <n v="0.2857142857142857"/>
    <x v="0"/>
    <x v="0"/>
    <s v=""/>
  </r>
  <r>
    <n v="30691"/>
    <x v="0"/>
    <s v="WO-Main_Building-CIV-8222A"/>
    <s v="Calibration Record Pending"/>
    <x v="0"/>
    <s v="CIV"/>
    <x v="1"/>
    <m/>
    <n v="0.4"/>
    <x v="0"/>
    <x v="0"/>
    <s v=""/>
  </r>
  <r>
    <n v="32673"/>
    <x v="0"/>
    <s v="WO-Main_Building-HVAC-8281B"/>
    <s v="Checklist Not Signed"/>
    <x v="0"/>
    <s v="HVAC"/>
    <x v="1"/>
    <m/>
    <n v="0.3125"/>
    <x v="0"/>
    <x v="0"/>
    <s v=""/>
  </r>
  <r>
    <n v="32886"/>
    <x v="0"/>
    <s v="WO-Main_Building-HVAC-8236"/>
    <s v="Checklist Not Signed"/>
    <x v="0"/>
    <s v="HVAC"/>
    <x v="1"/>
    <m/>
    <n v="0.27272727272727271"/>
    <x v="0"/>
    <x v="0"/>
    <s v=""/>
  </r>
  <r>
    <n v="33444"/>
    <x v="0"/>
    <s v="WO-Main_Building-HVAC-8228"/>
    <s v="Checklist Not Signed"/>
    <x v="0"/>
    <s v="HVAC"/>
    <x v="1"/>
    <m/>
    <n v="0.22222222222222221"/>
    <x v="0"/>
    <x v="0"/>
    <s v=""/>
  </r>
  <r>
    <n v="33447"/>
    <x v="0"/>
    <s v="WO-Main_Building-CIV-8222A"/>
    <s v="Checklist Not Signed"/>
    <x v="0"/>
    <s v="CIV"/>
    <x v="1"/>
    <m/>
    <n v="0.4"/>
    <x v="0"/>
    <x v="0"/>
    <s v=""/>
  </r>
  <r>
    <n v="33793"/>
    <x v="0"/>
    <s v="WO-Main_Building-GEN-8611"/>
    <s v="Checklist Not Signed"/>
    <x v="0"/>
    <s v="GEN"/>
    <x v="1"/>
    <m/>
    <n v="0.33333333333333331"/>
    <x v="0"/>
    <x v="0"/>
    <s v=""/>
  </r>
  <r>
    <n v="34006"/>
    <x v="1"/>
    <s v="WO-Main_Building-HVAC-8281B"/>
    <s v="Checklist Not Signed"/>
    <x v="0"/>
    <s v="HVAC"/>
    <x v="1"/>
    <m/>
    <n v="0.3125"/>
    <x v="1"/>
    <x v="1"/>
    <s v=""/>
  </r>
  <r>
    <n v="34332"/>
    <x v="0"/>
    <s v="WO-Main_Building-HVAC-8281B"/>
    <s v="Electrical Safety Non-Compliance"/>
    <x v="0"/>
    <s v="HVAC"/>
    <x v="0"/>
    <m/>
    <n v="0.3125"/>
    <x v="0"/>
    <x v="0"/>
    <s v=""/>
  </r>
  <r>
    <n v="36094"/>
    <x v="0"/>
    <s v="WO-Main_Building-HVAC-8228"/>
    <s v="Calibration Record Pending"/>
    <x v="0"/>
    <s v="HVAC"/>
    <x v="1"/>
    <m/>
    <n v="0.22222222222222221"/>
    <x v="0"/>
    <x v="0"/>
    <s v=""/>
  </r>
  <r>
    <n v="36547"/>
    <x v="0"/>
    <s v="WO-Warehouse-PLMB-8226"/>
    <s v="Electrical Safety Non-Compliance"/>
    <x v="1"/>
    <s v="PLMB"/>
    <x v="0"/>
    <m/>
    <n v="0.35294117647058826"/>
    <x v="0"/>
    <x v="0"/>
    <s v=""/>
  </r>
  <r>
    <n v="38000"/>
    <x v="1"/>
    <s v="WO-Main_Building-HVAC-8236"/>
    <s v="Calibration Record Pending"/>
    <x v="0"/>
    <s v="HVAC"/>
    <x v="1"/>
    <m/>
    <n v="0.27272727272727271"/>
    <x v="2"/>
    <x v="2"/>
    <s v=""/>
  </r>
  <r>
    <n v="39082"/>
    <x v="0"/>
    <s v="WO-Main_Building-HVAC-8236"/>
    <s v="Electrical Safety Non-Compliance"/>
    <x v="0"/>
    <s v="HVAC"/>
    <x v="0"/>
    <m/>
    <n v="0.27272727272727271"/>
    <x v="0"/>
    <x v="0"/>
    <s v=""/>
  </r>
  <r>
    <n v="39541"/>
    <x v="0"/>
    <s v="WO-Main_Building-GEN-8605"/>
    <s v="Fire Protection System Incomplete"/>
    <x v="0"/>
    <s v="GEN"/>
    <x v="0"/>
    <m/>
    <n v="0.2857142857142857"/>
    <x v="0"/>
    <x v="0"/>
    <s v=""/>
  </r>
  <r>
    <n v="39543"/>
    <x v="0"/>
    <s v="WO-Main_Building-ELEC-8216A"/>
    <s v="Incomplete Maintenance Record"/>
    <x v="0"/>
    <s v="ELEC"/>
    <x v="1"/>
    <m/>
    <n v="0.33333333333333331"/>
    <x v="0"/>
    <x v="0"/>
    <s v=""/>
  </r>
  <r>
    <n v="39544"/>
    <x v="0"/>
    <s v="WO-Main_Building-INST-8206"/>
    <s v="Incomplete Maintenance Record"/>
    <x v="0"/>
    <s v="INST"/>
    <x v="1"/>
    <m/>
    <n v="0.3"/>
    <x v="0"/>
    <x v="0"/>
    <s v=""/>
  </r>
  <r>
    <n v="39546"/>
    <x v="0"/>
    <s v="WO-Main_Building-HVAC-8285"/>
    <s v="Incorrect Asset Tag"/>
    <x v="0"/>
    <s v="HVAC"/>
    <x v="1"/>
    <m/>
    <n v="0"/>
    <x v="0"/>
    <x v="0"/>
    <s v=""/>
  </r>
  <r>
    <n v="39548"/>
    <x v="0"/>
    <s v="WO-Main_Building-HVAC-8236"/>
    <s v="Incorrect Asset Tag"/>
    <x v="0"/>
    <s v="HVAC"/>
    <x v="1"/>
    <m/>
    <n v="0.27272727272727271"/>
    <x v="0"/>
    <x v="0"/>
    <s v=""/>
  </r>
  <r>
    <n v="39550"/>
    <x v="0"/>
    <s v="WO-Main_Building-GEN-8611"/>
    <s v="Incorrect Asset Tag"/>
    <x v="0"/>
    <s v="GEN"/>
    <x v="1"/>
    <m/>
    <n v="0.33333333333333331"/>
    <x v="0"/>
    <x v="0"/>
    <s v=""/>
  </r>
  <r>
    <n v="39552"/>
    <x v="0"/>
    <s v="WO-Main_Building-GEN-8608"/>
    <s v="Incorrect Asset Tag"/>
    <x v="0"/>
    <s v="GEN"/>
    <x v="1"/>
    <m/>
    <n v="0.2857142857142857"/>
    <x v="0"/>
    <x v="0"/>
    <s v=""/>
  </r>
  <r>
    <n v="39554"/>
    <x v="0"/>
    <s v="WO-Main_Building-GEN-8605"/>
    <s v="Incorrect Asset Tag"/>
    <x v="0"/>
    <s v="GEN"/>
    <x v="1"/>
    <m/>
    <n v="0.2857142857142857"/>
    <x v="0"/>
    <x v="0"/>
    <s v=""/>
  </r>
  <r>
    <n v="39556"/>
    <x v="0"/>
    <s v="WO-Main_Building-HVAC-8286"/>
    <s v="Mechanical System Malfunction"/>
    <x v="0"/>
    <s v="HVAC"/>
    <x v="0"/>
    <m/>
    <n v="0"/>
    <x v="0"/>
    <x v="0"/>
    <s v=""/>
  </r>
  <r>
    <n v="39557"/>
    <x v="0"/>
    <s v="WO-Main_Building-HVAC-8281A"/>
    <s v="Mechanical System Malfunction"/>
    <x v="0"/>
    <s v="HVAC"/>
    <x v="0"/>
    <m/>
    <n v="0.2857142857142857"/>
    <x v="0"/>
    <x v="0"/>
    <s v=""/>
  </r>
  <r>
    <n v="39558"/>
    <x v="0"/>
    <s v="WO-Main_Building-HVAC-8281B"/>
    <s v="Mechanical System Malfunction"/>
    <x v="0"/>
    <s v="HVAC"/>
    <x v="0"/>
    <m/>
    <n v="0.3125"/>
    <x v="0"/>
    <x v="0"/>
    <s v=""/>
  </r>
  <r>
    <n v="40233"/>
    <x v="0"/>
    <s v="WO-Main_Building-HVAC-8236"/>
    <s v="Mechanical System Malfunction"/>
    <x v="0"/>
    <s v="HVAC"/>
    <x v="0"/>
    <m/>
    <n v="0.27272727272727271"/>
    <x v="0"/>
    <x v="0"/>
    <s v=""/>
  </r>
  <r>
    <n v="40234"/>
    <x v="0"/>
    <s v="WO-Main_Building-INST-8206"/>
    <s v="Mechanical System Malfunction"/>
    <x v="0"/>
    <s v="INST"/>
    <x v="0"/>
    <m/>
    <n v="0.3"/>
    <x v="0"/>
    <x v="0"/>
    <s v=""/>
  </r>
  <r>
    <n v="40235"/>
    <x v="0"/>
    <s v="WO-Main_Building-INS-8282"/>
    <s v="Mechanical System Malfunction"/>
    <x v="0"/>
    <s v="INS"/>
    <x v="0"/>
    <m/>
    <n v="0.25"/>
    <x v="0"/>
    <x v="0"/>
    <s v=""/>
  </r>
  <r>
    <n v="40236"/>
    <x v="0"/>
    <s v="WO-Main_Building-HVAC-8285"/>
    <s v="Missing Equipment Label"/>
    <x v="0"/>
    <s v="HVAC"/>
    <x v="1"/>
    <m/>
    <n v="0"/>
    <x v="0"/>
    <x v="0"/>
    <s v=""/>
  </r>
  <r>
    <n v="40237"/>
    <x v="0"/>
    <s v="WO-Main_Building-HVAC-8281B"/>
    <s v="Missing Equipment Label"/>
    <x v="0"/>
    <s v="HVAC"/>
    <x v="1"/>
    <m/>
    <n v="0.3125"/>
    <x v="0"/>
    <x v="0"/>
    <s v=""/>
  </r>
  <r>
    <n v="40240"/>
    <x v="0"/>
    <s v="WO-Main_Building-HVAC-8228"/>
    <s v="Missing Equipment Label"/>
    <x v="0"/>
    <s v="HVAC"/>
    <x v="1"/>
    <m/>
    <n v="0.22222222222222221"/>
    <x v="0"/>
    <x v="0"/>
    <s v=""/>
  </r>
  <r>
    <n v="40242"/>
    <x v="0"/>
    <s v="WO-Main_Building-INST-8206"/>
    <s v="Missing Equipment Label"/>
    <x v="0"/>
    <s v="INST"/>
    <x v="1"/>
    <m/>
    <n v="0.3"/>
    <x v="0"/>
    <x v="0"/>
    <s v=""/>
  </r>
  <r>
    <n v="40244"/>
    <x v="0"/>
    <s v="WO-Main_Building-CIV-8222A"/>
    <s v="Missing Equipment Label"/>
    <x v="0"/>
    <s v="CIV"/>
    <x v="1"/>
    <m/>
    <n v="0.4"/>
    <x v="0"/>
    <x v="0"/>
    <s v=""/>
  </r>
  <r>
    <n v="40248"/>
    <x v="0"/>
    <s v="WO-Main_Building-ELEC-8216A"/>
    <s v="Missing physical receipt of purchase"/>
    <x v="0"/>
    <s v="ELEC"/>
    <x v="1"/>
    <m/>
    <n v="0.33333333333333331"/>
    <x v="0"/>
    <x v="0"/>
    <s v=""/>
  </r>
  <r>
    <n v="40249"/>
    <x v="0"/>
    <s v="WO-Main_Building-INST-8206"/>
    <s v="Missing physical receipt of purchase"/>
    <x v="0"/>
    <s v="INST"/>
    <x v="1"/>
    <m/>
    <n v="0.3"/>
    <x v="0"/>
    <x v="0"/>
    <s v=""/>
  </r>
  <r>
    <n v="40250"/>
    <x v="0"/>
    <s v="WO-Main_Building-CIV-8222A"/>
    <s v="Missing physical receipt of purchase"/>
    <x v="0"/>
    <s v="CIV"/>
    <x v="1"/>
    <m/>
    <n v="0.4"/>
    <x v="0"/>
    <x v="0"/>
    <s v=""/>
  </r>
  <r>
    <n v="40251"/>
    <x v="0"/>
    <s v="WO-Main_Building-HVAC-8281A"/>
    <s v="Photo Evidence Missing"/>
    <x v="0"/>
    <s v="HVAC"/>
    <x v="1"/>
    <m/>
    <n v="0.2857142857142857"/>
    <x v="0"/>
    <x v="0"/>
    <s v=""/>
  </r>
  <r>
    <n v="40253"/>
    <x v="0"/>
    <s v="WO-Main_Building-HVAC-8281B"/>
    <s v="Photo Evidence Missing"/>
    <x v="0"/>
    <s v="HVAC"/>
    <x v="1"/>
    <m/>
    <n v="0.3125"/>
    <x v="0"/>
    <x v="0"/>
    <s v=""/>
  </r>
  <r>
    <n v="40254"/>
    <x v="0"/>
    <s v="WO-Main_Building-HVAC-8236"/>
    <s v="Photo Evidence Missing"/>
    <x v="0"/>
    <s v="HVAC"/>
    <x v="1"/>
    <m/>
    <n v="0.27272727272727271"/>
    <x v="0"/>
    <x v="0"/>
    <s v=""/>
  </r>
  <r>
    <n v="40457"/>
    <x v="0"/>
    <s v="WO-Main_Building-HVAC-8281B"/>
    <s v="Calibration Record Pending"/>
    <x v="0"/>
    <s v="HVAC"/>
    <x v="1"/>
    <m/>
    <n v="0.3125"/>
    <x v="0"/>
    <x v="0"/>
    <s v=""/>
  </r>
  <r>
    <n v="41044"/>
    <x v="0"/>
    <s v="WO-Main_Building-HVAC-8236"/>
    <s v="Incomplete Maintenance Record"/>
    <x v="0"/>
    <s v="HVAC"/>
    <x v="1"/>
    <m/>
    <n v="0.27272727272727271"/>
    <x v="0"/>
    <x v="0"/>
    <s v=""/>
  </r>
  <r>
    <n v="41530"/>
    <x v="1"/>
    <s v="WO-Main_Building-CIV-8222A"/>
    <s v="Electrical Safety Non-Compliance"/>
    <x v="0"/>
    <s v="CIV"/>
    <x v="0"/>
    <m/>
    <n v="0.4"/>
    <x v="3"/>
    <x v="3"/>
    <s v=""/>
  </r>
  <r>
    <n v="41531"/>
    <x v="1"/>
    <s v="WO-Main_Building-GEN-8608"/>
    <s v="Incorrect Asset Tag"/>
    <x v="0"/>
    <s v="GEN"/>
    <x v="1"/>
    <m/>
    <n v="0.2857142857142857"/>
    <x v="4"/>
    <x v="4"/>
    <s v=""/>
  </r>
  <r>
    <n v="41532"/>
    <x v="1"/>
    <s v="WO-Main_Building-HVAC-8281B"/>
    <s v="Structural Integrity Issue"/>
    <x v="0"/>
    <s v="HVAC"/>
    <x v="0"/>
    <m/>
    <n v="0.3125"/>
    <x v="5"/>
    <x v="5"/>
    <s v=""/>
  </r>
  <r>
    <n v="41533"/>
    <x v="1"/>
    <s v="WO-Main_Building-HVAC-8236"/>
    <s v="Electrical Safety Non-Compliance"/>
    <x v="0"/>
    <s v="HVAC"/>
    <x v="0"/>
    <m/>
    <n v="0.27272727272727271"/>
    <x v="6"/>
    <x v="6"/>
    <s v=""/>
  </r>
  <r>
    <n v="41534"/>
    <x v="1"/>
    <s v="WO-Main_Building-HVAC-8228"/>
    <s v="Mechanical System Malfunction"/>
    <x v="0"/>
    <s v="HVAC"/>
    <x v="0"/>
    <m/>
    <n v="0.22222222222222221"/>
    <x v="7"/>
    <x v="3"/>
    <s v=""/>
  </r>
  <r>
    <n v="41535"/>
    <x v="1"/>
    <s v="WO-Main_Building-ELEC-8216A"/>
    <s v="Incorrect Asset Tag"/>
    <x v="0"/>
    <s v="ELEC"/>
    <x v="1"/>
    <m/>
    <n v="0.33333333333333331"/>
    <x v="8"/>
    <x v="4"/>
    <s v=""/>
  </r>
  <r>
    <n v="41536"/>
    <x v="1"/>
    <s v="WO-Main_Building-INST-8206"/>
    <s v="Structural Integrity Issue"/>
    <x v="0"/>
    <s v="INST"/>
    <x v="0"/>
    <m/>
    <n v="0.3"/>
    <x v="9"/>
    <x v="6"/>
    <s v=""/>
  </r>
  <r>
    <n v="41539"/>
    <x v="0"/>
    <s v="WO-Main_Building-HVAC-8228"/>
    <s v="Photo Evidence Missing"/>
    <x v="0"/>
    <s v="HVAC"/>
    <x v="1"/>
    <m/>
    <n v="0.22222222222222221"/>
    <x v="0"/>
    <x v="0"/>
    <s v=""/>
  </r>
  <r>
    <n v="41540"/>
    <x v="0"/>
    <s v="WO-Main_Building-CIV-8222A"/>
    <s v="Photo Evidence Missing"/>
    <x v="0"/>
    <s v="CIV"/>
    <x v="1"/>
    <m/>
    <n v="0.4"/>
    <x v="0"/>
    <x v="0"/>
    <s v=""/>
  </r>
  <r>
    <n v="41541"/>
    <x v="0"/>
    <s v="WO-Main_Building-HVAC-8281B"/>
    <s v="Regulatory Approval Pending"/>
    <x v="0"/>
    <s v="HVAC"/>
    <x v="0"/>
    <m/>
    <n v="0.3125"/>
    <x v="0"/>
    <x v="0"/>
    <s v=""/>
  </r>
  <r>
    <n v="41542"/>
    <x v="0"/>
    <s v="WO-Main_Building-INST-8206"/>
    <s v="Regulatory Approval Pending"/>
    <x v="0"/>
    <s v="INST"/>
    <x v="0"/>
    <m/>
    <n v="0.3"/>
    <x v="0"/>
    <x v="0"/>
    <s v=""/>
  </r>
  <r>
    <n v="41543"/>
    <x v="0"/>
    <s v="WO-Main_Building-CIV-8222A"/>
    <s v="Regulatory Approval Pending"/>
    <x v="0"/>
    <s v="CIV"/>
    <x v="0"/>
    <m/>
    <n v="0.4"/>
    <x v="0"/>
    <x v="0"/>
    <s v=""/>
  </r>
  <r>
    <n v="41544"/>
    <x v="0"/>
    <s v="WO-Main_Building-GEN-8608"/>
    <s v="Regulatory Approval Pending"/>
    <x v="0"/>
    <s v="GEN"/>
    <x v="0"/>
    <m/>
    <n v="0.2857142857142857"/>
    <x v="0"/>
    <x v="0"/>
    <s v=""/>
  </r>
  <r>
    <n v="41545"/>
    <x v="0"/>
    <s v="WO-Main_Building-GEN-8605"/>
    <s v="Regulatory Approval Pending"/>
    <x v="0"/>
    <s v="GEN"/>
    <x v="0"/>
    <m/>
    <n v="0.2857142857142857"/>
    <x v="0"/>
    <x v="0"/>
    <s v=""/>
  </r>
  <r>
    <n v="41546"/>
    <x v="0"/>
    <s v="WO-Main_Building-HVAC-8281B"/>
    <s v="Structural Integrity Issue"/>
    <x v="0"/>
    <s v="HVAC"/>
    <x v="0"/>
    <m/>
    <n v="0.3125"/>
    <x v="0"/>
    <x v="0"/>
    <s v=""/>
  </r>
  <r>
    <n v="41547"/>
    <x v="0"/>
    <s v="WO-Main_Building-HVAC-8228"/>
    <s v="Structural Integrity Issue"/>
    <x v="0"/>
    <s v="HVAC"/>
    <x v="0"/>
    <m/>
    <n v="0.22222222222222221"/>
    <x v="0"/>
    <x v="0"/>
    <s v=""/>
  </r>
  <r>
    <n v="41548"/>
    <x v="0"/>
    <s v="WO-Main_Building-INST-8206"/>
    <s v="Structural Integrity Issue"/>
    <x v="0"/>
    <s v="INST"/>
    <x v="0"/>
    <m/>
    <n v="0.3"/>
    <x v="0"/>
    <x v="0"/>
    <s v=""/>
  </r>
  <r>
    <n v="41549"/>
    <x v="0"/>
    <s v="WO-Main_Building-GEN-8608"/>
    <s v="Structural Integrity Issue"/>
    <x v="0"/>
    <s v="GEN"/>
    <x v="0"/>
    <m/>
    <n v="0.2857142857142857"/>
    <x v="0"/>
    <x v="0"/>
    <s v=""/>
  </r>
  <r>
    <n v="41550"/>
    <x v="0"/>
    <s v="WO-Main_Building-INS-8282"/>
    <s v="Structural Integrity Issue"/>
    <x v="0"/>
    <s v="INS"/>
    <x v="0"/>
    <m/>
    <n v="0.25"/>
    <x v="0"/>
    <x v="0"/>
    <s v=""/>
  </r>
  <r>
    <n v="41551"/>
    <x v="0"/>
    <s v="WO-Main_Building-HVAC-8281A"/>
    <s v="Supervisor Acknowledgement Pending"/>
    <x v="0"/>
    <s v="HVAC"/>
    <x v="1"/>
    <m/>
    <n v="0.2857142857142857"/>
    <x v="0"/>
    <x v="0"/>
    <s v=""/>
  </r>
  <r>
    <n v="42008"/>
    <x v="0"/>
    <s v="WO-Main_Building-HVAC-8281B"/>
    <s v="Final Inspection Pending"/>
    <x v="0"/>
    <s v="HVAC"/>
    <x v="1"/>
    <m/>
    <n v="0.3125"/>
    <x v="0"/>
    <x v="0"/>
    <s v=""/>
  </r>
  <r>
    <n v="42009"/>
    <x v="0"/>
    <s v="WO-Main_Building-CIV-8222A"/>
    <s v="Final Inspection Pending"/>
    <x v="0"/>
    <s v="CIV"/>
    <x v="1"/>
    <m/>
    <n v="0.4"/>
    <x v="0"/>
    <x v="0"/>
    <s v=""/>
  </r>
  <r>
    <n v="42015"/>
    <x v="0"/>
    <s v="WO-Main_Building-GEN-8611"/>
    <s v="Final Inspection Pending"/>
    <x v="0"/>
    <s v="GEN"/>
    <x v="1"/>
    <m/>
    <n v="0.33333333333333331"/>
    <x v="0"/>
    <x v="0"/>
    <s v=""/>
  </r>
  <r>
    <n v="42016"/>
    <x v="0"/>
    <s v="WO-Main_Building-HVAC-8281A"/>
    <s v="Fire Protection System Incomplete"/>
    <x v="0"/>
    <s v="HVAC"/>
    <x v="0"/>
    <m/>
    <n v="0.2857142857142857"/>
    <x v="0"/>
    <x v="0"/>
    <s v=""/>
  </r>
  <r>
    <n v="42019"/>
    <x v="1"/>
    <s v="WO-Main_Building-HVAC-8281A"/>
    <s v="Incorrect Asset Tag"/>
    <x v="0"/>
    <s v="HVAC"/>
    <x v="1"/>
    <m/>
    <n v="0.2857142857142857"/>
    <x v="10"/>
    <x v="1"/>
    <s v=""/>
  </r>
  <r>
    <n v="42045"/>
    <x v="1"/>
    <s v="WO-Main_Building-CIV-8222A"/>
    <s v="Electrical Safety Non-Compliance"/>
    <x v="0"/>
    <s v="CIV"/>
    <x v="0"/>
    <m/>
    <n v="0.4"/>
    <x v="9"/>
    <x v="6"/>
    <s v=""/>
  </r>
  <r>
    <n v="42048"/>
    <x v="1"/>
    <s v="WO-Main_Building-HVAC-8281B"/>
    <s v="Mechanical System Malfunction"/>
    <x v="0"/>
    <s v="HVAC"/>
    <x v="0"/>
    <m/>
    <n v="0.3125"/>
    <x v="3"/>
    <x v="3"/>
    <s v=""/>
  </r>
  <r>
    <n v="43108"/>
    <x v="0"/>
    <s v="WO-Main_Building-GEN-8605"/>
    <s v="Checklist Not Signed"/>
    <x v="0"/>
    <s v="GEN"/>
    <x v="1"/>
    <m/>
    <n v="0.2857142857142857"/>
    <x v="0"/>
    <x v="0"/>
    <s v=""/>
  </r>
  <r>
    <n v="43113"/>
    <x v="1"/>
    <s v="WO-Main_Building-GEN-8611"/>
    <s v="Electrical Safety Non-Compliance"/>
    <x v="0"/>
    <s v="GEN"/>
    <x v="0"/>
    <m/>
    <n v="0.33333333333333331"/>
    <x v="11"/>
    <x v="4"/>
    <s v=""/>
  </r>
  <r>
    <n v="43745"/>
    <x v="0"/>
    <s v="WO-Main_Building-GEN-8608"/>
    <s v="Missing Equipment Label"/>
    <x v="0"/>
    <s v="GEN"/>
    <x v="1"/>
    <m/>
    <n v="0.2857142857142857"/>
    <x v="0"/>
    <x v="0"/>
    <s v=""/>
  </r>
  <r>
    <n v="49073"/>
    <x v="0"/>
    <s v="WO-Warehouse-ELEC-8208A"/>
    <s v="Minor Leak Stain"/>
    <x v="1"/>
    <s v="ELEC"/>
    <x v="1"/>
    <m/>
    <n v="0.3"/>
    <x v="0"/>
    <x v="0"/>
    <s v=""/>
  </r>
  <r>
    <n v="49113"/>
    <x v="0"/>
    <s v="WO-Warehouse-FIRE-8242"/>
    <s v="Minor Leak Stain"/>
    <x v="1"/>
    <s v="FIRE"/>
    <x v="1"/>
    <m/>
    <n v="0.5"/>
    <x v="0"/>
    <x v="0"/>
    <s v=""/>
  </r>
  <r>
    <n v="49507"/>
    <x v="0"/>
    <s v="WO-Warehouse-ELEC-8208B"/>
    <s v="Mechanical System Malfunction"/>
    <x v="1"/>
    <s v="ELEC"/>
    <x v="0"/>
    <m/>
    <n v="0.4"/>
    <x v="0"/>
    <x v="0"/>
    <s v=""/>
  </r>
  <r>
    <n v="49531"/>
    <x v="0"/>
    <s v="WO-Warehouse-PLMB-8226"/>
    <s v="Minor Leak Stain"/>
    <x v="1"/>
    <s v="PLMB"/>
    <x v="1"/>
    <m/>
    <n v="0.35294117647058826"/>
    <x v="0"/>
    <x v="0"/>
    <s v=""/>
  </r>
  <r>
    <n v="49671"/>
    <x v="1"/>
    <s v="WO-Warehouse-ELEC-8208B"/>
    <s v="Calibration Record Pending"/>
    <x v="1"/>
    <s v="ELEC"/>
    <x v="1"/>
    <m/>
    <n v="0.4"/>
    <x v="12"/>
    <x v="5"/>
    <s v=""/>
  </r>
  <r>
    <n v="49727"/>
    <x v="1"/>
    <s v="WO-Warehouse-PLMB-8226"/>
    <s v="Checklist Not Signed"/>
    <x v="1"/>
    <s v="PLMB"/>
    <x v="1"/>
    <m/>
    <n v="0.35294117647058826"/>
    <x v="13"/>
    <x v="1"/>
    <s v=""/>
  </r>
  <r>
    <n v="49781"/>
    <x v="0"/>
    <s v="WO-Warehouse-PLMB-8226"/>
    <s v="Fire Protection System Incomplete"/>
    <x v="1"/>
    <s v="PLMB"/>
    <x v="0"/>
    <m/>
    <n v="0.35294117647058826"/>
    <x v="0"/>
    <x v="0"/>
    <s v=""/>
  </r>
  <r>
    <n v="50028"/>
    <x v="0"/>
    <s v="WO-Warehouse-ELEC-8301"/>
    <s v="Worn out cable ties"/>
    <x v="1"/>
    <s v="ELEC"/>
    <x v="1"/>
    <m/>
    <n v="0"/>
    <x v="0"/>
    <x v="0"/>
    <s v=""/>
  </r>
  <r>
    <n v="50771"/>
    <x v="1"/>
    <s v="WO-Cooling_House-CIV-4395"/>
    <s v="Mechanical System Malfunction"/>
    <x v="2"/>
    <s v="CIV"/>
    <x v="0"/>
    <m/>
    <n v="1"/>
    <x v="14"/>
    <x v="3"/>
    <s v=""/>
  </r>
  <r>
    <n v="53797"/>
    <x v="0"/>
    <s v="WO-Warehouse-PLMB-8226"/>
    <s v="Worn out cable ties"/>
    <x v="1"/>
    <s v="PLMB"/>
    <x v="1"/>
    <m/>
    <n v="0.35294117647058826"/>
    <x v="0"/>
    <x v="0"/>
    <s v=""/>
  </r>
  <r>
    <n v="54486"/>
    <x v="0"/>
    <s v="WO-Warehouse-PLMB-8226"/>
    <s v="Mechanical System Malfunction"/>
    <x v="1"/>
    <s v="PLMB"/>
    <x v="0"/>
    <m/>
    <n v="0.35294117647058826"/>
    <x v="0"/>
    <x v="0"/>
    <s v=""/>
  </r>
  <r>
    <n v="55390"/>
    <x v="1"/>
    <s v="WO-Warehouse-CIV-8227"/>
    <s v="Electrical Safety Non-Compliance"/>
    <x v="1"/>
    <s v="CIV"/>
    <x v="0"/>
    <m/>
    <n v="0.33333333333333331"/>
    <x v="15"/>
    <x v="1"/>
    <s v=""/>
  </r>
  <r>
    <n v="55720"/>
    <x v="0"/>
    <s v="WO-Main_Building-HVAC-8281B"/>
    <s v="Missing physical receipt of purchase"/>
    <x v="0"/>
    <s v="HVAC"/>
    <x v="1"/>
    <m/>
    <n v="0.3125"/>
    <x v="0"/>
    <x v="0"/>
    <s v=""/>
  </r>
  <r>
    <n v="55924"/>
    <x v="0"/>
    <s v="WO-Warehouse-ELEC-8208A"/>
    <s v="Worn out cable ties"/>
    <x v="1"/>
    <s v="ELEC"/>
    <x v="1"/>
    <m/>
    <n v="0.3"/>
    <x v="0"/>
    <x v="0"/>
    <s v=""/>
  </r>
  <r>
    <n v="59321"/>
    <x v="1"/>
    <s v="WO-Cooling_House-LIFT-4202"/>
    <s v="Incorrect Asset Tag"/>
    <x v="2"/>
    <s v="LIFT"/>
    <x v="1"/>
    <m/>
    <n v="1"/>
    <x v="15"/>
    <x v="1"/>
    <s v=""/>
  </r>
  <r>
    <n v="59334"/>
    <x v="1"/>
    <s v="WO-Cooling_House-LIFT-4201"/>
    <s v="Incorrect Asset Tag"/>
    <x v="2"/>
    <s v="LIFT"/>
    <x v="1"/>
    <m/>
    <n v="1"/>
    <x v="16"/>
    <x v="3"/>
    <s v=""/>
  </r>
  <r>
    <n v="59463"/>
    <x v="1"/>
    <s v="WO-Cooling_House-CIV-4305"/>
    <s v="Mechanical System Malfunction"/>
    <x v="2"/>
    <s v="CIV"/>
    <x v="0"/>
    <m/>
    <n v="1"/>
    <x v="17"/>
    <x v="7"/>
    <s v=""/>
  </r>
  <r>
    <n v="59464"/>
    <x v="1"/>
    <s v="WO-Cooling_House-MECH-4306"/>
    <s v="Calibration Record Pending"/>
    <x v="2"/>
    <s v="MECH"/>
    <x v="1"/>
    <m/>
    <n v="1"/>
    <x v="7"/>
    <x v="3"/>
    <s v=""/>
  </r>
  <r>
    <n v="59507"/>
    <x v="1"/>
    <s v="WO-Cooling_House-HVAC-4328"/>
    <s v="Structural Integrity Issue"/>
    <x v="2"/>
    <s v="HVAC"/>
    <x v="0"/>
    <m/>
    <n v="1"/>
    <x v="12"/>
    <x v="5"/>
    <s v=""/>
  </r>
  <r>
    <n v="59854"/>
    <x v="0"/>
    <s v="WO-Main_Building-HVAC-8236"/>
    <s v="Missing physical receipt of purchase"/>
    <x v="0"/>
    <s v="HVAC"/>
    <x v="1"/>
    <m/>
    <n v="0.27272727272727271"/>
    <x v="0"/>
    <x v="0"/>
    <s v=""/>
  </r>
  <r>
    <n v="59897"/>
    <x v="0"/>
    <s v="WO-Main_Building-HVAC-8228"/>
    <s v="Missing physical receipt of purchase"/>
    <x v="0"/>
    <s v="HVAC"/>
    <x v="1"/>
    <m/>
    <n v="0.22222222222222221"/>
    <x v="0"/>
    <x v="0"/>
    <s v=""/>
  </r>
  <r>
    <n v="60269"/>
    <x v="0"/>
    <s v="WO-Main_Building-HVAC-8236"/>
    <s v="Supervisor Acknowledgement Pending"/>
    <x v="0"/>
    <s v="HVAC"/>
    <x v="1"/>
    <m/>
    <n v="0.27272727272727271"/>
    <x v="0"/>
    <x v="0"/>
    <s v=""/>
  </r>
  <r>
    <n v="60270"/>
    <x v="0"/>
    <s v="WO-Main_Building-HVAC-8228"/>
    <s v="Supervisor Acknowledgement Pending"/>
    <x v="0"/>
    <s v="HVAC"/>
    <x v="1"/>
    <m/>
    <n v="0.22222222222222221"/>
    <x v="0"/>
    <x v="0"/>
    <s v=""/>
  </r>
  <r>
    <n v="60271"/>
    <x v="0"/>
    <s v="WO-Main_Building-CIV-8222A"/>
    <s v="Supervisor Acknowledgement Pending"/>
    <x v="0"/>
    <s v="CIV"/>
    <x v="1"/>
    <m/>
    <n v="0.4"/>
    <x v="0"/>
    <x v="0"/>
    <s v=""/>
  </r>
  <r>
    <n v="60272"/>
    <x v="0"/>
    <s v="WO-Main_Building-GEN-8611"/>
    <s v="Supervisor Acknowledgement Pending"/>
    <x v="0"/>
    <s v="GEN"/>
    <x v="1"/>
    <m/>
    <n v="0.33333333333333331"/>
    <x v="0"/>
    <x v="0"/>
    <s v=""/>
  </r>
  <r>
    <n v="60827"/>
    <x v="1"/>
    <s v="WO-Cooling_House-HVAC-4328"/>
    <s v="Incorrect Asset Tag"/>
    <x v="2"/>
    <s v="HVAC"/>
    <x v="1"/>
    <m/>
    <n v="1"/>
    <x v="18"/>
    <x v="4"/>
    <s v=""/>
  </r>
  <r>
    <n v="61132"/>
    <x v="1"/>
    <s v="WO-Cooling_House-LIFT-4201A"/>
    <s v="Structural Integrity Issue"/>
    <x v="2"/>
    <s v="LIFT"/>
    <x v="0"/>
    <m/>
    <n v="1"/>
    <x v="9"/>
    <x v="6"/>
    <s v=""/>
  </r>
  <r>
    <n v="61141"/>
    <x v="1"/>
    <s v="WO-Cooling_House-LIFT-4201B"/>
    <s v="Incorrect Asset Tag"/>
    <x v="2"/>
    <s v="LIFT"/>
    <x v="1"/>
    <m/>
    <n v="1"/>
    <x v="19"/>
    <x v="4"/>
    <s v=""/>
  </r>
  <r>
    <n v="61320"/>
    <x v="0"/>
    <s v="WO-Main_Building-HVAC-8281B"/>
    <s v="Fire Protection System Incomplete"/>
    <x v="0"/>
    <s v="HVAC"/>
    <x v="0"/>
    <m/>
    <n v="0.3125"/>
    <x v="0"/>
    <x v="0"/>
    <s v=""/>
  </r>
  <r>
    <n v="61383"/>
    <x v="0"/>
    <s v="WO-Warehouse-PLMB-8226"/>
    <s v="Paint Touch-Up Required"/>
    <x v="1"/>
    <s v="PLMB"/>
    <x v="1"/>
    <m/>
    <n v="0.35294117647058826"/>
    <x v="0"/>
    <x v="0"/>
    <s v=""/>
  </r>
  <r>
    <n v="61758"/>
    <x v="0"/>
    <s v="WO-Warehouse-PLMB-8229"/>
    <s v="Worn out cable ties"/>
    <x v="1"/>
    <s v="PLMB"/>
    <x v="1"/>
    <m/>
    <n v="0"/>
    <x v="0"/>
    <x v="0"/>
    <s v=""/>
  </r>
  <r>
    <n v="62049"/>
    <x v="1"/>
    <s v="WO-Main_Building-INST-8206"/>
    <s v="Checklist Not Signed"/>
    <x v="0"/>
    <s v="INST"/>
    <x v="1"/>
    <m/>
    <n v="0.3"/>
    <x v="20"/>
    <x v="3"/>
    <s v=""/>
  </r>
  <r>
    <n v="62051"/>
    <x v="1"/>
    <s v="WO-Main_Building-CIV-8222A"/>
    <s v="Calibration Record Pending"/>
    <x v="0"/>
    <s v="CIV"/>
    <x v="1"/>
    <m/>
    <n v="0.4"/>
    <x v="21"/>
    <x v="3"/>
    <s v=""/>
  </r>
  <r>
    <n v="62774"/>
    <x v="0"/>
    <s v="WO-Warehouse-CIV-8227"/>
    <s v="Paint Touch-Up Required"/>
    <x v="1"/>
    <s v="CIV"/>
    <x v="1"/>
    <m/>
    <n v="0.33333333333333331"/>
    <x v="0"/>
    <x v="0"/>
    <s v=""/>
  </r>
  <r>
    <n v="62879"/>
    <x v="1"/>
    <s v="WO-Cooling_House-DOC-4311"/>
    <s v="Calibration Record Pending"/>
    <x v="2"/>
    <s v="DOC"/>
    <x v="1"/>
    <m/>
    <n v="1"/>
    <x v="22"/>
    <x v="5"/>
    <s v=""/>
  </r>
  <r>
    <n v="64130"/>
    <x v="1"/>
    <s v="WO-Main_Building-CIV-8222A"/>
    <s v="Incorrect Asset Tag"/>
    <x v="0"/>
    <s v="CIV"/>
    <x v="1"/>
    <m/>
    <n v="0.4"/>
    <x v="23"/>
    <x v="6"/>
    <s v=""/>
  </r>
  <r>
    <n v="64144"/>
    <x v="1"/>
    <s v="WO-Main_Building-GEN-8611"/>
    <s v="Calibration Record Pending"/>
    <x v="0"/>
    <s v="GEN"/>
    <x v="1"/>
    <m/>
    <n v="0.33333333333333331"/>
    <x v="24"/>
    <x v="2"/>
    <s v=""/>
  </r>
  <r>
    <n v="64328"/>
    <x v="1"/>
    <s v="WO-Main_Building-GEN-8605"/>
    <s v="Calibration Record Pending"/>
    <x v="0"/>
    <s v="GEN"/>
    <x v="1"/>
    <m/>
    <n v="0.2857142857142857"/>
    <x v="10"/>
    <x v="1"/>
    <s v=""/>
  </r>
  <r>
    <n v="65011"/>
    <x v="1"/>
    <s v="WO-Cooling_House-PLMB-4267"/>
    <s v="Electrical Safety Non-Compliance"/>
    <x v="2"/>
    <s v="PLMB"/>
    <x v="0"/>
    <m/>
    <n v="1"/>
    <x v="25"/>
    <x v="4"/>
    <s v=""/>
  </r>
  <r>
    <n v="65667"/>
    <x v="0"/>
    <s v="WO-Warehouse-ELEC-8208B"/>
    <s v="Electrical Safety Non-Compliance"/>
    <x v="1"/>
    <s v="ELEC"/>
    <x v="0"/>
    <m/>
    <n v="0.4"/>
    <x v="0"/>
    <x v="0"/>
    <s v=""/>
  </r>
  <r>
    <n v="65849"/>
    <x v="1"/>
    <s v="WO-Cooling_House-CIV-4408"/>
    <s v="Calibration Record Pending"/>
    <x v="2"/>
    <s v="CIV"/>
    <x v="1"/>
    <m/>
    <n v="1"/>
    <x v="18"/>
    <x v="4"/>
    <s v=""/>
  </r>
  <r>
    <n v="65914"/>
    <x v="0"/>
    <s v="WO-Warehouse-FIRE-8242"/>
    <s v="Final Inspection Pending"/>
    <x v="1"/>
    <s v="FIRE"/>
    <x v="1"/>
    <m/>
    <n v="0.5"/>
    <x v="0"/>
    <x v="0"/>
    <s v=""/>
  </r>
  <r>
    <n v="65916"/>
    <x v="1"/>
    <s v="WO-Warehouse-FIRE-8242"/>
    <s v="Calibration Record Pending"/>
    <x v="1"/>
    <s v="FIRE"/>
    <x v="1"/>
    <m/>
    <n v="0.5"/>
    <x v="8"/>
    <x v="4"/>
    <s v=""/>
  </r>
  <r>
    <n v="65917"/>
    <x v="1"/>
    <s v="WO-Warehouse-PLMB-8226"/>
    <s v="Calibration Record Pending"/>
    <x v="1"/>
    <s v="PLMB"/>
    <x v="1"/>
    <m/>
    <n v="0.35294117647058826"/>
    <x v="21"/>
    <x v="3"/>
    <s v=""/>
  </r>
  <r>
    <n v="66554"/>
    <x v="0"/>
    <s v="WO-Warehouse-ELEC-8208B"/>
    <s v="Fire Protection System Incomplete"/>
    <x v="1"/>
    <s v="ELEC"/>
    <x v="0"/>
    <m/>
    <n v="0.4"/>
    <x v="0"/>
    <x v="0"/>
    <s v=""/>
  </r>
  <r>
    <n v="67674"/>
    <x v="1"/>
    <s v="WO-Cooling_House-DOC-4372"/>
    <s v="Electrical Safety Non-Compliance"/>
    <x v="2"/>
    <s v="DOC"/>
    <x v="0"/>
    <m/>
    <n v="1"/>
    <x v="22"/>
    <x v="5"/>
    <s v=""/>
  </r>
  <r>
    <n v="67986"/>
    <x v="0"/>
    <s v="WO-Warehouse-ELEC-8208A"/>
    <s v="Final Inspection Pending"/>
    <x v="1"/>
    <s v="ELEC"/>
    <x v="1"/>
    <m/>
    <n v="0.3"/>
    <x v="0"/>
    <x v="0"/>
    <s v=""/>
  </r>
  <r>
    <n v="68364"/>
    <x v="0"/>
    <s v="WO-Warehouse-PLMB-8226"/>
    <s v="Poor Cable Management"/>
    <x v="1"/>
    <s v="PLMB"/>
    <x v="1"/>
    <m/>
    <n v="0.35294117647058826"/>
    <x v="0"/>
    <x v="0"/>
    <s v=""/>
  </r>
  <r>
    <n v="68365"/>
    <x v="0"/>
    <s v="WO-Warehouse-ELEC-8208A"/>
    <s v="Poor Cable Management"/>
    <x v="1"/>
    <s v="ELEC"/>
    <x v="1"/>
    <m/>
    <n v="0.3"/>
    <x v="0"/>
    <x v="0"/>
    <s v=""/>
  </r>
  <r>
    <n v="68695"/>
    <x v="1"/>
    <s v="WO-Warehouse-PLMB-8226"/>
    <s v="Checklist Not Signed"/>
    <x v="1"/>
    <s v="PLMB"/>
    <x v="1"/>
    <m/>
    <n v="0.35294117647058826"/>
    <x v="26"/>
    <x v="2"/>
    <s v=""/>
  </r>
  <r>
    <n v="68719"/>
    <x v="1"/>
    <s v="WO-Warehouse-ELEC-8208B"/>
    <s v="Checklist Not Signed"/>
    <x v="1"/>
    <s v="ELEC"/>
    <x v="1"/>
    <m/>
    <n v="0.4"/>
    <x v="15"/>
    <x v="1"/>
    <s v=""/>
  </r>
  <r>
    <n v="68829"/>
    <x v="0"/>
    <s v="WO-Warehouse-ELEC-8208A"/>
    <s v="Regulatory Approval Pending"/>
    <x v="1"/>
    <s v="ELEC"/>
    <x v="0"/>
    <m/>
    <n v="0.3"/>
    <x v="0"/>
    <x v="0"/>
    <s v=""/>
  </r>
  <r>
    <n v="68835"/>
    <x v="0"/>
    <s v="WO-Warehouse-ELEC-8208A"/>
    <s v="Structural Integrity Issue"/>
    <x v="1"/>
    <s v="ELEC"/>
    <x v="0"/>
    <m/>
    <n v="0.3"/>
    <x v="0"/>
    <x v="0"/>
    <s v=""/>
  </r>
  <r>
    <n v="68836"/>
    <x v="0"/>
    <s v="WO-Warehouse-PLMB-8226"/>
    <s v="Structural Integrity Issue"/>
    <x v="1"/>
    <s v="PLMB"/>
    <x v="0"/>
    <m/>
    <n v="0.35294117647058826"/>
    <x v="0"/>
    <x v="0"/>
    <s v=""/>
  </r>
  <r>
    <n v="69079"/>
    <x v="0"/>
    <s v="WO-Main_Building-CIV-8222A"/>
    <s v="Electrical Safety Non-Compliance"/>
    <x v="0"/>
    <s v="CIV"/>
    <x v="0"/>
    <m/>
    <n v="0.4"/>
    <x v="0"/>
    <x v="0"/>
    <s v=""/>
  </r>
  <r>
    <n v="69081"/>
    <x v="0"/>
    <s v="WO-Main_Building-INST-8206"/>
    <s v="Electrical Safety Non-Compliance"/>
    <x v="0"/>
    <s v="INST"/>
    <x v="0"/>
    <m/>
    <n v="0.3"/>
    <x v="0"/>
    <x v="0"/>
    <s v=""/>
  </r>
  <r>
    <n v="69095"/>
    <x v="1"/>
    <s v="WO-Main_Building-HVAC-8228"/>
    <s v="Calibration Record Pending"/>
    <x v="0"/>
    <s v="HVAC"/>
    <x v="1"/>
    <m/>
    <n v="0.22222222222222221"/>
    <x v="23"/>
    <x v="6"/>
    <s v=""/>
  </r>
  <r>
    <n v="69096"/>
    <x v="0"/>
    <s v="WO-Main_Building-GEN-8608"/>
    <s v="Electrical Safety Non-Compliance"/>
    <x v="0"/>
    <s v="GEN"/>
    <x v="0"/>
    <m/>
    <n v="0.2857142857142857"/>
    <x v="0"/>
    <x v="0"/>
    <s v=""/>
  </r>
  <r>
    <n v="69097"/>
    <x v="0"/>
    <s v="WO-Main_Building-INS-8282"/>
    <s v="Electrical Safety Non-Compliance"/>
    <x v="0"/>
    <s v="INS"/>
    <x v="0"/>
    <m/>
    <n v="0.25"/>
    <x v="0"/>
    <x v="0"/>
    <s v=""/>
  </r>
  <r>
    <n v="69098"/>
    <x v="0"/>
    <s v="WO-Main_Building-GEN-8605"/>
    <s v="Electrical Safety Non-Compliance"/>
    <x v="0"/>
    <s v="GEN"/>
    <x v="0"/>
    <m/>
    <n v="0.2857142857142857"/>
    <x v="0"/>
    <x v="0"/>
    <s v=""/>
  </r>
  <r>
    <n v="69099"/>
    <x v="1"/>
    <s v="WO-Main_Building-CIV-8222A"/>
    <s v="Calibration Record Pending"/>
    <x v="0"/>
    <s v="CIV"/>
    <x v="1"/>
    <m/>
    <n v="0.4"/>
    <x v="6"/>
    <x v="6"/>
    <s v=""/>
  </r>
  <r>
    <n v="69475"/>
    <x v="0"/>
    <s v="WO-Warehouse-PLMB-8226"/>
    <s v="Supervisor Acknowledgement Pending"/>
    <x v="1"/>
    <s v="PLMB"/>
    <x v="1"/>
    <m/>
    <n v="0.35294117647058826"/>
    <x v="0"/>
    <x v="0"/>
    <s v=""/>
  </r>
  <r>
    <n v="69917"/>
    <x v="1"/>
    <s v="WO-Warehouse-ELEC-8208A"/>
    <s v="Checklist Not Signed"/>
    <x v="1"/>
    <s v="ELEC"/>
    <x v="1"/>
    <m/>
    <n v="0.3"/>
    <x v="27"/>
    <x v="2"/>
    <s v=""/>
  </r>
  <r>
    <n v="70003"/>
    <x v="0"/>
    <s v="WO-Warehouse-CIV-8227"/>
    <s v="Photo Evidence Missing"/>
    <x v="1"/>
    <s v="CIV"/>
    <x v="1"/>
    <m/>
    <n v="0.33333333333333331"/>
    <x v="0"/>
    <x v="0"/>
    <s v=""/>
  </r>
  <r>
    <n v="70004"/>
    <x v="0"/>
    <s v="WO-Warehouse-ELEC-8208A"/>
    <s v="Paint Touch-Up Required"/>
    <x v="1"/>
    <s v="ELEC"/>
    <x v="1"/>
    <m/>
    <n v="0.3"/>
    <x v="0"/>
    <x v="0"/>
    <s v=""/>
  </r>
  <r>
    <n v="70005"/>
    <x v="0"/>
    <s v="WO-Warehouse-PLMB-8226"/>
    <s v="Photo Evidence Missing"/>
    <x v="1"/>
    <s v="PLMB"/>
    <x v="1"/>
    <m/>
    <n v="0.35294117647058826"/>
    <x v="0"/>
    <x v="0"/>
    <s v=""/>
  </r>
  <r>
    <n v="70007"/>
    <x v="0"/>
    <s v="WO-Warehouse-FIRE-8242"/>
    <s v="Photo Evidence Missing"/>
    <x v="1"/>
    <s v="FIRE"/>
    <x v="1"/>
    <m/>
    <n v="0.5"/>
    <x v="0"/>
    <x v="0"/>
    <s v=""/>
  </r>
  <r>
    <n v="70053"/>
    <x v="0"/>
    <s v="WO-Warehouse-PLMB-8229"/>
    <s v="Surface Rust Observed"/>
    <x v="1"/>
    <s v="PLMB"/>
    <x v="1"/>
    <m/>
    <n v="0"/>
    <x v="0"/>
    <x v="0"/>
    <s v=""/>
  </r>
  <r>
    <n v="70056"/>
    <x v="0"/>
    <s v="WO-Warehouse-CIV-8227"/>
    <s v="Worn out cable ties"/>
    <x v="1"/>
    <s v="CIV"/>
    <x v="1"/>
    <m/>
    <n v="0.33333333333333331"/>
    <x v="0"/>
    <x v="0"/>
    <s v=""/>
  </r>
  <r>
    <n v="70221"/>
    <x v="0"/>
    <s v="WO-Warehouse-CIV-8227"/>
    <s v="Temporary Marking Missing"/>
    <x v="1"/>
    <s v="CIV"/>
    <x v="1"/>
    <m/>
    <n v="0.33333333333333331"/>
    <x v="0"/>
    <x v="0"/>
    <s v=""/>
  </r>
  <r>
    <n v="70225"/>
    <x v="1"/>
    <s v="WO-Warehouse-FIRE-8242"/>
    <s v="Checklist Not Signed"/>
    <x v="1"/>
    <s v="FIRE"/>
    <x v="1"/>
    <m/>
    <n v="0.5"/>
    <x v="28"/>
    <x v="2"/>
    <s v=""/>
  </r>
  <r>
    <n v="70226"/>
    <x v="0"/>
    <s v="WO-Warehouse-PLMB-8226"/>
    <s v="Temporary Marking Missing"/>
    <x v="1"/>
    <s v="PLMB"/>
    <x v="1"/>
    <m/>
    <n v="0.35294117647058826"/>
    <x v="0"/>
    <x v="0"/>
    <s v=""/>
  </r>
  <r>
    <n v="70228"/>
    <x v="1"/>
    <s v="WO-Warehouse-CIV-8227"/>
    <s v="Checklist Not Signed"/>
    <x v="1"/>
    <s v="CIV"/>
    <x v="1"/>
    <m/>
    <n v="0.33333333333333331"/>
    <x v="29"/>
    <x v="6"/>
    <s v=""/>
  </r>
  <r>
    <n v="70471"/>
    <x v="1"/>
    <s v="WO-Warehouse-PLMB-8226"/>
    <s v="Electrical Safety Non-Compliance"/>
    <x v="1"/>
    <s v="PLMB"/>
    <x v="0"/>
    <m/>
    <n v="0.35294117647058826"/>
    <x v="4"/>
    <x v="4"/>
    <s v=""/>
  </r>
  <r>
    <n v="70941"/>
    <x v="1"/>
    <s v="WO-Main_Building-HVAC-8281A"/>
    <s v="Checklist Not Signed"/>
    <x v="0"/>
    <s v="HVAC"/>
    <x v="1"/>
    <m/>
    <n v="0.2857142857142857"/>
    <x v="30"/>
    <x v="6"/>
    <s v=""/>
  </r>
  <r>
    <n v="72021"/>
    <x v="1"/>
    <s v="WO-Main_Building-HVAC-8281B"/>
    <s v="Checklist Not Signed"/>
    <x v="0"/>
    <s v="HVAC"/>
    <x v="1"/>
    <m/>
    <n v="0.3125"/>
    <x v="31"/>
    <x v="6"/>
    <s v=""/>
  </r>
  <r>
    <n v="72945"/>
    <x v="1"/>
    <s v="WO-Main_Building-HVAC-8281B"/>
    <s v="Electrical Safety Non-Compliance"/>
    <x v="0"/>
    <s v="HVAC"/>
    <x v="0"/>
    <m/>
    <n v="0.3125"/>
    <x v="11"/>
    <x v="4"/>
    <s v=""/>
  </r>
  <r>
    <n v="72947"/>
    <x v="1"/>
    <s v="WO-Main_Building-CIV-8222A"/>
    <s v="Checklist Not Signed"/>
    <x v="0"/>
    <s v="CIV"/>
    <x v="1"/>
    <m/>
    <n v="0.4"/>
    <x v="25"/>
    <x v="4"/>
    <s v=""/>
  </r>
  <r>
    <n v="72952"/>
    <x v="1"/>
    <s v="WO-Main_Building-INST-8206"/>
    <s v="Checklist Not Signed"/>
    <x v="0"/>
    <s v="INST"/>
    <x v="1"/>
    <m/>
    <n v="0.3"/>
    <x v="32"/>
    <x v="1"/>
    <s v=""/>
  </r>
  <r>
    <n v="72953"/>
    <x v="1"/>
    <s v="WO-Main_Building-GEN-8605"/>
    <s v="Electrical Safety Non-Compliance"/>
    <x v="0"/>
    <s v="GEN"/>
    <x v="0"/>
    <m/>
    <n v="0.2857142857142857"/>
    <x v="15"/>
    <x v="1"/>
    <s v=""/>
  </r>
  <r>
    <n v="72954"/>
    <x v="1"/>
    <s v="WO-Main_Building-GEN-8608"/>
    <s v="Checklist Not Signed"/>
    <x v="0"/>
    <s v="GEN"/>
    <x v="1"/>
    <m/>
    <n v="0.2857142857142857"/>
    <x v="19"/>
    <x v="4"/>
    <s v=""/>
  </r>
  <r>
    <n v="72955"/>
    <x v="1"/>
    <s v="WO-Main_Building-HVAC-8236"/>
    <s v="Checklist Not Signed"/>
    <x v="0"/>
    <s v="HVAC"/>
    <x v="1"/>
    <m/>
    <n v="0.27272727272727271"/>
    <x v="33"/>
    <x v="5"/>
    <s v=""/>
  </r>
  <r>
    <n v="72956"/>
    <x v="1"/>
    <s v="WO-Main_Building-INS-8282"/>
    <s v="Electrical Safety Non-Compliance"/>
    <x v="0"/>
    <s v="INS"/>
    <x v="0"/>
    <m/>
    <n v="0.25"/>
    <x v="14"/>
    <x v="3"/>
    <s v=""/>
  </r>
  <r>
    <n v="72999"/>
    <x v="1"/>
    <s v="WO-Cooling_House-DOC-4335"/>
    <s v="Checklist Not Signed"/>
    <x v="2"/>
    <s v="DOC"/>
    <x v="1"/>
    <m/>
    <n v="1"/>
    <x v="32"/>
    <x v="1"/>
    <s v=""/>
  </r>
  <r>
    <n v="73001"/>
    <x v="1"/>
    <s v="WO-Cooling_House-DOC-4335"/>
    <s v="Checklist Not Signed"/>
    <x v="2"/>
    <s v="DOC"/>
    <x v="1"/>
    <m/>
    <n v="1"/>
    <x v="34"/>
    <x v="3"/>
    <s v=""/>
  </r>
  <r>
    <n v="74978"/>
    <x v="1"/>
    <s v="WO-Warehouse-ELEC-8208A"/>
    <s v="Electrical Safety Non-Compliance"/>
    <x v="1"/>
    <s v="ELEC"/>
    <x v="0"/>
    <m/>
    <n v="0.3"/>
    <x v="14"/>
    <x v="3"/>
    <s v=""/>
  </r>
  <r>
    <n v="75561"/>
    <x v="1"/>
    <s v="WO-Warehouse-PLMB-8226"/>
    <s v="Electrical Safety Non-Compliance"/>
    <x v="1"/>
    <s v="PLMB"/>
    <x v="0"/>
    <m/>
    <n v="0.35294117647058826"/>
    <x v="4"/>
    <x v="4"/>
    <s v=""/>
  </r>
  <r>
    <n v="75563"/>
    <x v="1"/>
    <s v="WO-Warehouse-PLMB-8226"/>
    <s v="Electrical Safety Non-Compliance"/>
    <x v="1"/>
    <s v="PLMB"/>
    <x v="0"/>
    <m/>
    <n v="0.35294117647058826"/>
    <x v="17"/>
    <x v="7"/>
    <s v=""/>
  </r>
  <r>
    <n v="75564"/>
    <x v="1"/>
    <s v="WO-Warehouse-ELEC-8208A"/>
    <s v="Electrical Safety Non-Compliance"/>
    <x v="1"/>
    <s v="ELEC"/>
    <x v="0"/>
    <m/>
    <n v="0.3"/>
    <x v="7"/>
    <x v="3"/>
    <s v=""/>
  </r>
  <r>
    <n v="75570"/>
    <x v="1"/>
    <s v="WO-Warehouse-FIRE-8242"/>
    <s v="Electrical Safety Non-Compliance"/>
    <x v="1"/>
    <s v="FIRE"/>
    <x v="0"/>
    <m/>
    <n v="0.5"/>
    <x v="25"/>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ACCD42-F4FB-4F29-B20F-9524ECEDFB72}"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6:E10" firstHeaderRow="1" firstDataRow="2" firstDataCol="1" rowPageCount="1" colPageCount="1"/>
  <pivotFields count="12">
    <pivotField dataField="1" showAll="0"/>
    <pivotField axis="axisPage" multipleItemSelectionAllowed="1" showAll="0">
      <items count="4">
        <item h="1" m="1" x="2"/>
        <item h="1" x="1"/>
        <item x="0"/>
        <item t="default"/>
      </items>
    </pivotField>
    <pivotField showAll="0"/>
    <pivotField showAll="0"/>
    <pivotField axis="axisRow" showAll="0">
      <items count="4">
        <item x="2"/>
        <item x="0"/>
        <item x="1"/>
        <item t="default"/>
      </items>
    </pivotField>
    <pivotField showAll="0"/>
    <pivotField axis="axisCol" showAll="0">
      <items count="3">
        <item x="0"/>
        <item x="1"/>
        <item t="default"/>
      </items>
    </pivotField>
    <pivotField showAll="0"/>
    <pivotField numFmtId="9" showAll="0"/>
    <pivotField showAll="0"/>
    <pivotField showAll="0"/>
    <pivotField showAll="0"/>
  </pivotFields>
  <rowFields count="1">
    <field x="4"/>
  </rowFields>
  <rowItems count="3">
    <i>
      <x v="1"/>
    </i>
    <i>
      <x v="2"/>
    </i>
    <i t="grand">
      <x/>
    </i>
  </rowItems>
  <colFields count="1">
    <field x="6"/>
  </colFields>
  <colItems count="3">
    <i>
      <x/>
    </i>
    <i>
      <x v="1"/>
    </i>
    <i t="grand">
      <x/>
    </i>
  </colItems>
  <pageFields count="1">
    <pageField fld="1" hier="-1"/>
  </pageFields>
  <dataFields count="1">
    <dataField name="Count of Defect ID"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3EB6E4-4DBC-4AC1-8AAE-5910B67A4EB2}" name="PivotTable1" cacheId="1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H3:J38" firstHeaderRow="1" firstDataRow="1" firstDataCol="2" rowPageCount="1" colPageCount="1"/>
  <pivotFields count="12">
    <pivotField dataField="1" compact="0" outline="0" subtotalTop="0" showAll="0" defaultSubtotal="0"/>
    <pivotField axis="axisPage" compact="0" outline="0" subtotalTop="0" showAll="0" defaultSubtotal="0">
      <items count="3">
        <item x="1"/>
        <item x="0"/>
        <item m="1" x="2"/>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9" outline="0" subtotalTop="0" showAll="0" defaultSubtotal="0"/>
    <pivotField axis="axisRow" compact="0" outline="0" subtotalTop="0" showAll="0" sortType="descending" defaultSubtotal="0">
      <items count="85">
        <item x="0"/>
        <item x="33"/>
        <item x="22"/>
        <item x="5"/>
        <item x="12"/>
        <item x="2"/>
        <item x="24"/>
        <item x="26"/>
        <item x="27"/>
        <item x="28"/>
        <item x="21"/>
        <item x="14"/>
        <item x="3"/>
        <item x="34"/>
        <item x="16"/>
        <item x="7"/>
        <item x="20"/>
        <item x="6"/>
        <item x="23"/>
        <item x="30"/>
        <item x="9"/>
        <item x="29"/>
        <item x="31"/>
        <item x="32"/>
        <item x="13"/>
        <item x="10"/>
        <item x="1"/>
        <item x="15"/>
        <item x="18"/>
        <item x="19"/>
        <item x="4"/>
        <item x="8"/>
        <item x="11"/>
        <item x="25"/>
        <item x="17"/>
        <item m="1" x="43"/>
        <item m="1" x="37"/>
        <item m="1" x="42"/>
        <item m="1" x="45"/>
        <item m="1" x="80"/>
        <item m="1" x="76"/>
        <item m="1" x="62"/>
        <item m="1" x="73"/>
        <item m="1" x="66"/>
        <item m="1" x="83"/>
        <item m="1" x="72"/>
        <item m="1" x="39"/>
        <item m="1" x="47"/>
        <item m="1" x="65"/>
        <item m="1" x="77"/>
        <item m="1" x="35"/>
        <item m="1" x="57"/>
        <item m="1" x="63"/>
        <item m="1" x="59"/>
        <item m="1" x="61"/>
        <item m="1" x="46"/>
        <item m="1" x="82"/>
        <item m="1" x="64"/>
        <item m="1" x="79"/>
        <item m="1" x="67"/>
        <item m="1" x="51"/>
        <item m="1" x="71"/>
        <item m="1" x="50"/>
        <item m="1" x="49"/>
        <item m="1" x="70"/>
        <item m="1" x="60"/>
        <item m="1" x="52"/>
        <item m="1" x="68"/>
        <item m="1" x="36"/>
        <item m="1" x="55"/>
        <item m="1" x="41"/>
        <item m="1" x="69"/>
        <item m="1" x="48"/>
        <item m="1" x="74"/>
        <item m="1" x="38"/>
        <item m="1" x="44"/>
        <item m="1" x="56"/>
        <item m="1" x="58"/>
        <item m="1" x="40"/>
        <item m="1" x="53"/>
        <item m="1" x="75"/>
        <item m="1" x="78"/>
        <item m="1" x="81"/>
        <item m="1" x="54"/>
        <item m="1" x="84"/>
      </items>
    </pivotField>
    <pivotField axis="axisRow" compact="0" outline="0" subtotalTop="0" showAll="0" sortType="ascending" defaultSubtotal="0">
      <items count="29">
        <item x="0"/>
        <item m="1" x="22"/>
        <item m="1" x="20"/>
        <item m="1" x="24"/>
        <item m="1" x="17"/>
        <item m="1" x="9"/>
        <item m="1" x="18"/>
        <item m="1" x="13"/>
        <item m="1" x="23"/>
        <item m="1" x="16"/>
        <item m="1" x="11"/>
        <item m="1" x="27"/>
        <item m="1" x="26"/>
        <item m="1" x="21"/>
        <item m="1" x="14"/>
        <item x="7"/>
        <item x="4"/>
        <item x="1"/>
        <item x="6"/>
        <item x="3"/>
        <item x="2"/>
        <item x="5"/>
        <item m="1" x="8"/>
        <item m="1" x="12"/>
        <item m="1" x="19"/>
        <item m="1" x="15"/>
        <item m="1" x="10"/>
        <item m="1" x="25"/>
        <item m="1" x="28"/>
      </items>
    </pivotField>
    <pivotField compact="0" outline="0" subtotalTop="0" showAll="0" defaultSubtotal="0"/>
  </pivotFields>
  <rowFields count="2">
    <field x="10"/>
    <field x="9"/>
  </rowFields>
  <rowItems count="35">
    <i>
      <x v="15"/>
      <x v="34"/>
    </i>
    <i>
      <x v="16"/>
      <x v="28"/>
    </i>
    <i r="1">
      <x v="29"/>
    </i>
    <i r="1">
      <x v="30"/>
    </i>
    <i r="1">
      <x v="31"/>
    </i>
    <i r="1">
      <x v="32"/>
    </i>
    <i r="1">
      <x v="33"/>
    </i>
    <i>
      <x v="17"/>
      <x v="23"/>
    </i>
    <i r="1">
      <x v="24"/>
    </i>
    <i r="1">
      <x v="25"/>
    </i>
    <i r="1">
      <x v="26"/>
    </i>
    <i r="1">
      <x v="27"/>
    </i>
    <i>
      <x v="18"/>
      <x v="17"/>
    </i>
    <i r="1">
      <x v="18"/>
    </i>
    <i r="1">
      <x v="19"/>
    </i>
    <i r="1">
      <x v="20"/>
    </i>
    <i r="1">
      <x v="21"/>
    </i>
    <i r="1">
      <x v="22"/>
    </i>
    <i>
      <x v="19"/>
      <x v="10"/>
    </i>
    <i r="1">
      <x v="11"/>
    </i>
    <i r="1">
      <x v="12"/>
    </i>
    <i r="1">
      <x v="13"/>
    </i>
    <i r="1">
      <x v="14"/>
    </i>
    <i r="1">
      <x v="15"/>
    </i>
    <i r="1">
      <x v="16"/>
    </i>
    <i>
      <x v="20"/>
      <x v="5"/>
    </i>
    <i r="1">
      <x v="6"/>
    </i>
    <i r="1">
      <x v="7"/>
    </i>
    <i r="1">
      <x v="8"/>
    </i>
    <i r="1">
      <x v="9"/>
    </i>
    <i>
      <x v="21"/>
      <x v="1"/>
    </i>
    <i r="1">
      <x v="2"/>
    </i>
    <i r="1">
      <x v="3"/>
    </i>
    <i r="1">
      <x v="4"/>
    </i>
    <i t="grand">
      <x/>
    </i>
  </rowItems>
  <colItems count="1">
    <i/>
  </colItems>
  <pageFields count="1">
    <pageField fld="1" item="0" hier="-1"/>
  </pageFields>
  <dataFields count="1">
    <dataField name="Count of Defect ID" fld="0" subtotal="count" baseField="9" baseItem="33"/>
  </dataFields>
  <formats count="18">
    <format dxfId="37">
      <pivotArea dataOnly="0" labelOnly="1" outline="0" fieldPosition="0">
        <references count="2">
          <reference field="9" count="1">
            <x v="84"/>
          </reference>
          <reference field="10" count="1" selected="0">
            <x v="11"/>
          </reference>
        </references>
      </pivotArea>
    </format>
    <format dxfId="36">
      <pivotArea dataOnly="0" labelOnly="1" outline="0" fieldPosition="0">
        <references count="1">
          <reference field="1" count="1">
            <x v="0"/>
          </reference>
        </references>
      </pivotArea>
    </format>
    <format dxfId="35">
      <pivotArea field="9" type="button" dataOnly="0" labelOnly="1" outline="0" axis="axisRow" fieldPosition="1"/>
    </format>
    <format dxfId="34">
      <pivotArea dataOnly="0" labelOnly="1" grandRow="1" outline="0" fieldPosition="0"/>
    </format>
    <format dxfId="33">
      <pivotArea dataOnly="0" labelOnly="1" outline="0" fieldPosition="0">
        <references count="2">
          <reference field="9" count="2">
            <x v="33"/>
            <x v="34"/>
          </reference>
          <reference field="10" count="1" selected="0">
            <x v="16"/>
          </reference>
        </references>
      </pivotArea>
    </format>
    <format dxfId="32">
      <pivotArea dataOnly="0" labelOnly="1" outline="0" fieldPosition="0">
        <references count="2">
          <reference field="9" count="5">
            <x v="28"/>
            <x v="29"/>
            <x v="30"/>
            <x v="31"/>
            <x v="32"/>
          </reference>
          <reference field="10" count="1" selected="0">
            <x v="17"/>
          </reference>
        </references>
      </pivotArea>
    </format>
    <format dxfId="31">
      <pivotArea dataOnly="0" labelOnly="1" outline="0" fieldPosition="0">
        <references count="2">
          <reference field="9" count="6">
            <x v="22"/>
            <x v="23"/>
            <x v="24"/>
            <x v="25"/>
            <x v="26"/>
            <x v="27"/>
          </reference>
          <reference field="10" count="1" selected="0">
            <x v="18"/>
          </reference>
        </references>
      </pivotArea>
    </format>
    <format dxfId="30">
      <pivotArea dataOnly="0" labelOnly="1" outline="0" fieldPosition="0">
        <references count="2">
          <reference field="9" count="6">
            <x v="16"/>
            <x v="17"/>
            <x v="18"/>
            <x v="19"/>
            <x v="20"/>
            <x v="21"/>
          </reference>
          <reference field="10" count="1" selected="0">
            <x v="19"/>
          </reference>
        </references>
      </pivotArea>
    </format>
    <format dxfId="29">
      <pivotArea dataOnly="0" labelOnly="1" outline="0" fieldPosition="0">
        <references count="2">
          <reference field="9" count="7">
            <x v="9"/>
            <x v="10"/>
            <x v="11"/>
            <x v="12"/>
            <x v="13"/>
            <x v="14"/>
            <x v="15"/>
          </reference>
          <reference field="10" count="1" selected="0">
            <x v="20"/>
          </reference>
        </references>
      </pivotArea>
    </format>
    <format dxfId="28">
      <pivotArea dataOnly="0" labelOnly="1" outline="0" fieldPosition="0">
        <references count="2">
          <reference field="9" count="5">
            <x v="4"/>
            <x v="5"/>
            <x v="6"/>
            <x v="7"/>
            <x v="8"/>
          </reference>
          <reference field="10" count="1" selected="0">
            <x v="21"/>
          </reference>
        </references>
      </pivotArea>
    </format>
    <format dxfId="27">
      <pivotArea dataOnly="0" labelOnly="1" outline="0" fieldPosition="0">
        <references count="2">
          <reference field="9" count="3">
            <x v="1"/>
            <x v="2"/>
            <x v="3"/>
          </reference>
          <reference field="10" count="1" selected="0">
            <x v="22"/>
          </reference>
        </references>
      </pivotArea>
    </format>
    <format dxfId="26">
      <pivotArea dataOnly="0" labelOnly="1" outline="0" fieldPosition="0">
        <references count="2">
          <reference field="9" count="1">
            <x v="34"/>
          </reference>
          <reference field="10" count="1" selected="0">
            <x v="15"/>
          </reference>
        </references>
      </pivotArea>
    </format>
    <format dxfId="25">
      <pivotArea dataOnly="0" labelOnly="1" outline="0" fieldPosition="0">
        <references count="2">
          <reference field="9" count="6">
            <x v="28"/>
            <x v="29"/>
            <x v="30"/>
            <x v="31"/>
            <x v="32"/>
            <x v="33"/>
          </reference>
          <reference field="10" count="1" selected="0">
            <x v="16"/>
          </reference>
        </references>
      </pivotArea>
    </format>
    <format dxfId="24">
      <pivotArea dataOnly="0" labelOnly="1" outline="0" fieldPosition="0">
        <references count="2">
          <reference field="9" count="5">
            <x v="23"/>
            <x v="24"/>
            <x v="25"/>
            <x v="26"/>
            <x v="27"/>
          </reference>
          <reference field="10" count="1" selected="0">
            <x v="17"/>
          </reference>
        </references>
      </pivotArea>
    </format>
    <format dxfId="23">
      <pivotArea dataOnly="0" labelOnly="1" outline="0" fieldPosition="0">
        <references count="2">
          <reference field="9" count="6">
            <x v="17"/>
            <x v="18"/>
            <x v="19"/>
            <x v="20"/>
            <x v="21"/>
            <x v="22"/>
          </reference>
          <reference field="10" count="1" selected="0">
            <x v="18"/>
          </reference>
        </references>
      </pivotArea>
    </format>
    <format dxfId="22">
      <pivotArea dataOnly="0" labelOnly="1" outline="0" fieldPosition="0">
        <references count="2">
          <reference field="9" count="7">
            <x v="10"/>
            <x v="11"/>
            <x v="12"/>
            <x v="13"/>
            <x v="14"/>
            <x v="15"/>
            <x v="16"/>
          </reference>
          <reference field="10" count="1" selected="0">
            <x v="19"/>
          </reference>
        </references>
      </pivotArea>
    </format>
    <format dxfId="21">
      <pivotArea dataOnly="0" labelOnly="1" outline="0" fieldPosition="0">
        <references count="2">
          <reference field="9" count="5">
            <x v="5"/>
            <x v="6"/>
            <x v="7"/>
            <x v="8"/>
            <x v="9"/>
          </reference>
          <reference field="10" count="1" selected="0">
            <x v="20"/>
          </reference>
        </references>
      </pivotArea>
    </format>
    <format dxfId="20">
      <pivotArea dataOnly="0" labelOnly="1" outline="0" fieldPosition="0">
        <references count="2">
          <reference field="9" count="4">
            <x v="1"/>
            <x v="2"/>
            <x v="3"/>
            <x v="4"/>
          </reference>
          <reference field="10" count="1" selected="0">
            <x v="2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57B2075-B5A6-477C-93E9-B6DCC885208A}" autoFormatId="16" applyNumberFormats="0" applyBorderFormats="0" applyFontFormats="0" applyPatternFormats="0" applyAlignmentFormats="0" applyWidthHeightFormats="0">
  <queryTableRefresh nextId="8" unboundColumnsRight="1">
    <queryTableFields count="7">
      <queryTableField id="1" name="Status" tableColumnId="1"/>
      <queryTableField id="2" name="Work Order Number" tableColumnId="2"/>
      <queryTableField id="3" name="Description" tableColumnId="3"/>
      <queryTableField id="4" name="Defect Type" tableColumnId="4"/>
      <queryTableField id="6" name="Trades" tableColumnId="6"/>
      <queryTableField id="7" name="Trade Full Name" tableColumnId="7"/>
      <queryTableField id="5" dataBound="0"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C96A31-27B0-4DEC-81DD-1307C114C433}" name="Trade_Code" displayName="Trade_Code" ref="C21:D40" totalsRowShown="0" headerRowDxfId="9" headerRowBorderDxfId="13" tableBorderDxfId="14" totalsRowBorderDxfId="12">
  <autoFilter ref="C21:D40" xr:uid="{AAC96A31-27B0-4DEC-81DD-1307C114C433}"/>
  <tableColumns count="2">
    <tableColumn id="1" xr3:uid="{A03CAB0C-29DA-4070-AC6E-26A3B89B0054}" name="Trade Codes" dataDxfId="11"/>
    <tableColumn id="2" xr3:uid="{2856177D-39D1-46E4-83B6-86B201BE22E3}" name="Full Name" dataDxfId="1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805212-8C6B-43CA-8D4D-E589AFAB33A8}" name="Defect_List" displayName="Defect_List" ref="A1:G101" tableType="queryTable" totalsRowShown="0">
  <autoFilter ref="A1:G101" xr:uid="{3A805212-8C6B-43CA-8D4D-E589AFAB33A8}"/>
  <tableColumns count="7">
    <tableColumn id="1" xr3:uid="{12C62DA3-1D9B-43EB-B4D4-42C9E5888934}" uniqueName="1" name="Status" queryTableFieldId="1" dataDxfId="19"/>
    <tableColumn id="2" xr3:uid="{B4E206D1-C4B3-49F6-92D8-8C97AA0D7E34}" uniqueName="2" name="Work Order Number" queryTableFieldId="2" dataDxfId="18"/>
    <tableColumn id="3" xr3:uid="{2536870F-757A-46AB-8987-7C6FA0FEAE8E}" uniqueName="3" name="Description" queryTableFieldId="3" dataDxfId="17"/>
    <tableColumn id="4" xr3:uid="{873A0D27-AB2A-431C-B990-7E20CB8DA678}" uniqueName="4" name="Defect Type" queryTableFieldId="4" dataDxfId="16"/>
    <tableColumn id="6" xr3:uid="{AD76FF46-1BE7-4100-9C5B-EFE5690D22D0}" uniqueName="6" name="Trades" queryTableFieldId="6" dataDxfId="8"/>
    <tableColumn id="7" xr3:uid="{CB326CFB-BE57-4F1B-AC7B-A21151BE2BEF}" uniqueName="7" name="Trade Full Name" queryTableFieldId="7" dataDxfId="7"/>
    <tableColumn id="5" xr3:uid="{7F9BBDFF-ED62-484F-BA77-722AD0097AF2}" uniqueName="5" name="List of Defects" queryTableFieldId="5" dataDxfId="15">
      <calculatedColumnFormula>"No. "&amp;COUNTIF($B$2:B2,Defect_List[[#This Row],[Work Order Number]])&amp;") "&amp;Defect_List[[#This Row],[Description]]</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4693-7182-43B0-83DF-D637A0B93822}">
  <sheetPr codeName="Sheet2">
    <tabColor rgb="FF92D050"/>
  </sheetPr>
  <dimension ref="A2:W29"/>
  <sheetViews>
    <sheetView showGridLines="0" tabSelected="1" topLeftCell="A2" zoomScale="80" zoomScaleNormal="80" workbookViewId="0">
      <selection activeCell="T26" sqref="T26"/>
    </sheetView>
  </sheetViews>
  <sheetFormatPr defaultRowHeight="14.4"/>
  <cols>
    <col min="16" max="16" width="11.109375" customWidth="1"/>
    <col min="17" max="17" width="6.109375" customWidth="1"/>
    <col min="18" max="18" width="16.33203125" bestFit="1" customWidth="1"/>
    <col min="19" max="19" width="6.21875" customWidth="1"/>
    <col min="20" max="20" width="46.6640625" customWidth="1"/>
    <col min="21" max="22" width="59.6640625" customWidth="1"/>
  </cols>
  <sheetData>
    <row r="2" spans="2:23" ht="23.4">
      <c r="E2" s="105" t="s">
        <v>427</v>
      </c>
      <c r="F2" s="105"/>
      <c r="G2" s="105"/>
      <c r="H2" s="105"/>
      <c r="I2" s="105"/>
      <c r="J2" s="105"/>
      <c r="K2" s="105"/>
      <c r="L2" s="105"/>
    </row>
    <row r="3" spans="2:23" ht="15.6">
      <c r="B3" s="106" t="s">
        <v>428</v>
      </c>
      <c r="C3" s="106"/>
      <c r="D3" s="106"/>
      <c r="E3" s="106"/>
      <c r="F3" s="106"/>
      <c r="G3" s="106"/>
      <c r="H3" s="106"/>
      <c r="I3" s="106"/>
      <c r="J3" s="106"/>
      <c r="K3" s="106"/>
      <c r="L3" s="106"/>
      <c r="M3" s="106"/>
      <c r="N3" s="106"/>
      <c r="O3" s="106"/>
    </row>
    <row r="6" spans="2:23" ht="18">
      <c r="P6" s="97" t="s">
        <v>437</v>
      </c>
    </row>
    <row r="7" spans="2:23">
      <c r="P7" s="72" t="s">
        <v>438</v>
      </c>
      <c r="Q7" s="108"/>
      <c r="R7" s="96"/>
      <c r="S7" s="96"/>
      <c r="T7" s="96"/>
      <c r="U7" s="96"/>
      <c r="V7" s="96"/>
      <c r="W7" s="96"/>
    </row>
    <row r="8" spans="2:23">
      <c r="P8" s="72" t="s">
        <v>447</v>
      </c>
      <c r="Q8" s="45"/>
    </row>
    <row r="9" spans="2:23">
      <c r="P9" s="72" t="s">
        <v>439</v>
      </c>
      <c r="Q9" s="45"/>
    </row>
    <row r="10" spans="2:23">
      <c r="P10" s="72" t="s">
        <v>440</v>
      </c>
      <c r="Q10" s="45"/>
    </row>
    <row r="11" spans="2:23">
      <c r="P11" s="45"/>
      <c r="Q11" s="45"/>
    </row>
    <row r="12" spans="2:23" ht="18">
      <c r="P12" s="97" t="s">
        <v>429</v>
      </c>
      <c r="Q12" s="97"/>
    </row>
    <row r="13" spans="2:23">
      <c r="P13" s="72" t="s">
        <v>441</v>
      </c>
      <c r="Q13" s="45"/>
    </row>
    <row r="14" spans="2:23">
      <c r="P14" s="72" t="s">
        <v>442</v>
      </c>
      <c r="Q14" s="45"/>
    </row>
    <row r="15" spans="2:23">
      <c r="P15" s="109" t="s">
        <v>443</v>
      </c>
      <c r="Q15" s="45"/>
    </row>
    <row r="16" spans="2:23">
      <c r="P16" s="109" t="s">
        <v>448</v>
      </c>
      <c r="Q16" s="45"/>
    </row>
    <row r="17" spans="1:20">
      <c r="A17" s="110"/>
      <c r="P17" s="109"/>
      <c r="Q17" s="45"/>
    </row>
    <row r="18" spans="1:20" ht="18">
      <c r="P18" s="97" t="s">
        <v>430</v>
      </c>
      <c r="Q18" s="97"/>
    </row>
    <row r="19" spans="1:20">
      <c r="P19" s="72" t="s">
        <v>445</v>
      </c>
      <c r="Q19" s="45"/>
    </row>
    <row r="20" spans="1:20">
      <c r="P20" s="72" t="s">
        <v>444</v>
      </c>
      <c r="Q20" s="45"/>
    </row>
    <row r="21" spans="1:20">
      <c r="P21" s="72" t="s">
        <v>446</v>
      </c>
      <c r="Q21" s="45"/>
    </row>
    <row r="22" spans="1:20">
      <c r="P22" s="77"/>
      <c r="Q22" s="77"/>
    </row>
    <row r="23" spans="1:20">
      <c r="P23" s="45"/>
      <c r="Q23" s="45"/>
    </row>
    <row r="24" spans="1:20">
      <c r="P24" s="98"/>
      <c r="Q24" s="98"/>
    </row>
    <row r="25" spans="1:20">
      <c r="P25" s="45"/>
      <c r="Q25" s="45"/>
    </row>
    <row r="27" spans="1:20" ht="18">
      <c r="P27" s="97" t="s">
        <v>431</v>
      </c>
      <c r="Q27" s="97"/>
    </row>
    <row r="28" spans="1:20">
      <c r="P28" s="107" t="s">
        <v>432</v>
      </c>
      <c r="Q28" s="107"/>
      <c r="R28" s="107" t="s">
        <v>433</v>
      </c>
      <c r="S28" s="107"/>
      <c r="T28" s="107" t="s">
        <v>434</v>
      </c>
    </row>
    <row r="29" spans="1:20">
      <c r="P29" s="10">
        <v>46054</v>
      </c>
      <c r="Q29" s="10"/>
      <c r="R29" t="s">
        <v>435</v>
      </c>
      <c r="T29" t="s">
        <v>436</v>
      </c>
    </row>
  </sheetData>
  <sheetProtection algorithmName="SHA-512" hashValue="Ty0gmHGEPpX2IwuAySGlmD1gFW9FNP2M0NSyNot9qJTzCMzEd+txXKViYvftc8K6t7DrKRFJPPFrSqM+rkgaJA==" saltValue="hVSVqMMRV1eGWVDcnWYj5Q==" spinCount="100000" sheet="1" objects="1" scenarios="1" selectLockedCells="1" selectUnlockedCells="1"/>
  <sortState xmlns:xlrd2="http://schemas.microsoft.com/office/spreadsheetml/2017/richdata2" ref="P7:P14">
    <sortCondition ref="P7:P14"/>
  </sortState>
  <mergeCells count="2">
    <mergeCell ref="E2:L2"/>
    <mergeCell ref="B3:O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D387F-2799-4124-BF90-E53068547BBE}">
  <sheetPr codeName="Sheet1">
    <tabColor rgb="FFFFC000"/>
  </sheetPr>
  <dimension ref="C3:L40"/>
  <sheetViews>
    <sheetView showGridLines="0" workbookViewId="0">
      <selection activeCell="O24" sqref="O24"/>
    </sheetView>
  </sheetViews>
  <sheetFormatPr defaultRowHeight="14.4"/>
  <cols>
    <col min="2" max="2" width="8" customWidth="1"/>
    <col min="3" max="3" width="15.5546875" customWidth="1"/>
    <col min="4" max="4" width="15.33203125" bestFit="1" customWidth="1"/>
    <col min="5" max="5" width="15.88671875" bestFit="1" customWidth="1"/>
    <col min="6" max="6" width="17.44140625" customWidth="1"/>
    <col min="7" max="7" width="16.109375" customWidth="1"/>
    <col min="8" max="8" width="12.33203125" customWidth="1"/>
    <col min="9" max="9" width="11.33203125" customWidth="1"/>
    <col min="10" max="10" width="9" bestFit="1" customWidth="1"/>
    <col min="11" max="11" width="18.5546875" customWidth="1"/>
    <col min="12" max="12" width="14.33203125" customWidth="1"/>
  </cols>
  <sheetData>
    <row r="3" spans="3:12">
      <c r="D3" s="16"/>
    </row>
    <row r="4" spans="3:12" ht="24" thickBot="1">
      <c r="C4" s="17" t="s">
        <v>160</v>
      </c>
      <c r="K4" s="18" t="str">
        <f ca="1">"(LIVE) Date: "&amp;TEXT(TODAY(),"dd-mmm-yyyy")&amp;", "&amp;TEXT(NOW(),"HH:mm")&amp;"/"&amp;TEXT(NOW(), "hh:mm AM/PM")</f>
        <v>(LIVE) Date: 01-Feb-2026, 14:13/02:13 PM</v>
      </c>
      <c r="L4" s="16"/>
    </row>
    <row r="5" spans="3:12">
      <c r="C5" s="40" t="s">
        <v>180</v>
      </c>
      <c r="D5" s="41" t="s">
        <v>162</v>
      </c>
      <c r="E5" s="42" t="s">
        <v>163</v>
      </c>
      <c r="F5" s="42" t="s">
        <v>164</v>
      </c>
      <c r="G5" s="43" t="s">
        <v>165</v>
      </c>
      <c r="H5" s="41" t="s">
        <v>166</v>
      </c>
      <c r="I5" s="42" t="s">
        <v>167</v>
      </c>
      <c r="J5" s="43" t="s">
        <v>168</v>
      </c>
      <c r="K5" s="88" t="s">
        <v>169</v>
      </c>
    </row>
    <row r="6" spans="3:12">
      <c r="C6" s="44" t="s">
        <v>13</v>
      </c>
      <c r="D6" s="31">
        <f>COUNTIF('Job Planning'!$A$4:$A$137,'Summary Closure Overview'!C6)</f>
        <v>90</v>
      </c>
      <c r="E6" s="11">
        <f>SUMIF('Job Planning'!$A$4:$A$137,'Summary Closure Overview'!C6,'Job Planning'!$M$4:$M$137)+SUMIF('Job Planning'!$A$4:$A$137,'Summary Closure Overview'!C6,'Job Planning'!$N$4:$N$137)</f>
        <v>360</v>
      </c>
      <c r="F6" s="11">
        <f>SUMIF('Job Planning'!$A$4:$A$137,'Summary Closure Overview'!C6,'Job Planning'!$M$4:$M$137)</f>
        <v>333</v>
      </c>
      <c r="G6" s="32">
        <f>SUMIF('Job Planning'!$A$4:$A$137,'Summary Closure Overview'!C6,'Job Planning'!$N$4:$N$137)</f>
        <v>27</v>
      </c>
      <c r="H6" s="31">
        <f>COUNTIFS('Job Planning'!$A$4:$A$137,'Summary Closure Overview'!C6,'Job Planning'!$B$4:$B$137,"&lt;&gt;")</f>
        <v>90</v>
      </c>
      <c r="I6" s="11">
        <f>COUNTIFS('Job Planning'!$A$4:$A$137,'Summary Closure Overview'!C6,'Job Planning'!$C$4:$C$137,"Completed")
+COUNTIFS('Job Planning'!$A$4:$A$137,'Summary Closure Overview'!C6,'Job Planning'!$C$4:$C$137,"Signed 1/5")
+COUNTIFS('Job Planning'!$A$4:$A$137,'Summary Closure Overview'!C6,'Job Planning'!$C$4:$C$137,"Signed 2/5")
+COUNTIFS('Job Planning'!$A$4:$A$137,'Summary Closure Overview'!C6,'Job Planning'!$C$4:$C$137,"Signed 3/5")
+COUNTIFS('Job Planning'!$A$4:$A$137,'Summary Closure Overview'!C6,'Job Planning'!$C$4:$C$137,"Signed 4/5")</f>
        <v>77</v>
      </c>
      <c r="J6" s="32">
        <f>COUNTIFS('Job Planning'!$A$4:$A$137,'Summary Closure Overview'!C6,'Job Planning'!$C$4:$C$137,"To Be Signed")
+COUNTIFS('Job Planning'!$A$4:$A$137,'Summary Closure Overview'!C6,'Job Planning'!$C$4:$C$137,"Started")
+COUNTIFS('Job Planning'!$A$4:$A$137,'Summary Closure Overview'!C6,'Job Planning'!$C$4:$C$137,"Awaiting RFI")
+COUNTIFS('Job Planning'!$A$4:$A$137,'Summary Closure Overview'!C6,'Job Planning'!$C$4:$C$137,"")</f>
        <v>13</v>
      </c>
      <c r="K6" s="89">
        <f>I6/H6</f>
        <v>0.85555555555555551</v>
      </c>
    </row>
    <row r="7" spans="3:12">
      <c r="C7" s="44" t="s">
        <v>19</v>
      </c>
      <c r="D7" s="31">
        <f>COUNTIF('Job Planning'!$A$4:$A$137,'Summary Closure Overview'!C7)</f>
        <v>29</v>
      </c>
      <c r="E7" s="11">
        <f>SUMIF('Job Planning'!$A$4:$A$137,'Summary Closure Overview'!C7,'Job Planning'!$M$4:$M$137)+SUMIF('Job Planning'!$A$4:$A$137,'Summary Closure Overview'!C7,'Job Planning'!$N$4:$N$137)</f>
        <v>116</v>
      </c>
      <c r="F7" s="11">
        <f>SUMIF('Job Planning'!$A$4:$A$137,'Summary Closure Overview'!C7,'Job Planning'!$M$4:$M$137)</f>
        <v>116</v>
      </c>
      <c r="G7" s="32">
        <f>SUMIF('Job Planning'!$A$4:$A$137,'Summary Closure Overview'!C7,'Job Planning'!$N$4:$N$137)</f>
        <v>0</v>
      </c>
      <c r="H7" s="31">
        <f>COUNTIFS('Job Planning'!$A$4:$A$137,'Summary Closure Overview'!C7,'Job Planning'!$B$4:$B$137,"&lt;&gt;")</f>
        <v>29</v>
      </c>
      <c r="I7" s="11">
        <f>COUNTIFS('Job Planning'!$A$4:$A$137,'Summary Closure Overview'!C7,'Job Planning'!$C$4:$C$137,"Completed")
+COUNTIFS('Job Planning'!$A$4:$A$137,'Summary Closure Overview'!C7,'Job Planning'!$C$4:$C$137,"Signed 1/5")
+COUNTIFS('Job Planning'!$A$4:$A$137,'Summary Closure Overview'!C7,'Job Planning'!$C$4:$C$137,"Signed 2/5")
+COUNTIFS('Job Planning'!$A$4:$A$137,'Summary Closure Overview'!C7,'Job Planning'!$C$4:$C$137,"Signed 3/5")
+COUNTIFS('Job Planning'!$A$4:$A$137,'Summary Closure Overview'!C7,'Job Planning'!$C$4:$C$137,"Signed 4/5")</f>
        <v>29</v>
      </c>
      <c r="J7" s="32">
        <f>COUNTIFS('Job Planning'!$A$4:$A$137,'Summary Closure Overview'!C7,'Job Planning'!$C$4:$C$137,"To Be Signed")
+COUNTIFS('Job Planning'!$A$4:$A$137,'Summary Closure Overview'!C7,'Job Planning'!$C$4:$C$137,"Started")
+COUNTIFS('Job Planning'!$A$4:$A$137,'Summary Closure Overview'!C7,'Job Planning'!$C$4:$C$137,"Awaiting RFI")
+COUNTIFS('Job Planning'!$A$4:$A$137,'Summary Closure Overview'!C7,'Job Planning'!$C$4:$C$137,"")</f>
        <v>0</v>
      </c>
      <c r="K7" s="89">
        <f>I7/H7</f>
        <v>1</v>
      </c>
    </row>
    <row r="8" spans="3:12">
      <c r="C8" s="44" t="s">
        <v>18</v>
      </c>
      <c r="D8" s="31">
        <f>COUNTIF('Job Planning'!$A$4:$A$137,'Summary Closure Overview'!C8)</f>
        <v>12</v>
      </c>
      <c r="E8" s="11">
        <f>SUMIF('Job Planning'!$A$4:$A$137,'Summary Closure Overview'!C8,'Job Planning'!$M$4:$M$137)+SUMIF('Job Planning'!$A$4:$A$137,'Summary Closure Overview'!C8,'Job Planning'!$N$4:$N$137)</f>
        <v>48</v>
      </c>
      <c r="F8" s="11">
        <f>SUMIF('Job Planning'!$A$4:$A$137,'Summary Closure Overview'!C8,'Job Planning'!$M$4:$M$137)</f>
        <v>44</v>
      </c>
      <c r="G8" s="32">
        <f>SUMIF('Job Planning'!$A$4:$A$137,'Summary Closure Overview'!C8,'Job Planning'!$N$4:$N$137)</f>
        <v>4</v>
      </c>
      <c r="H8" s="31">
        <f>COUNTIFS('Job Planning'!$A$4:$A$137,'Summary Closure Overview'!C8,'Job Planning'!$B$4:$B$137,"&lt;&gt;")</f>
        <v>12</v>
      </c>
      <c r="I8" s="11">
        <f>COUNTIFS('Job Planning'!$A$4:$A$137,'Summary Closure Overview'!C8,'Job Planning'!$C$4:$C$137,"Completed")
+COUNTIFS('Job Planning'!$A$4:$A$137,'Summary Closure Overview'!C8,'Job Planning'!$C$4:$C$137,"Signed 1/5")
+COUNTIFS('Job Planning'!$A$4:$A$137,'Summary Closure Overview'!C8,'Job Planning'!$C$4:$C$137,"Signed 2/5")
+COUNTIFS('Job Planning'!$A$4:$A$137,'Summary Closure Overview'!C8,'Job Planning'!$C$4:$C$137,"Signed 3/5")
+COUNTIFS('Job Planning'!$A$4:$A$137,'Summary Closure Overview'!C8,'Job Planning'!$C$4:$C$137,"Signed 4/5")</f>
        <v>4</v>
      </c>
      <c r="J8" s="32">
        <f>COUNTIFS('Job Planning'!$A$4:$A$137,'Summary Closure Overview'!C8,'Job Planning'!$C$4:$C$137,"To Be Signed")
+COUNTIFS('Job Planning'!$A$4:$A$137,'Summary Closure Overview'!C8,'Job Planning'!$C$4:$C$137,"Started")
+COUNTIFS('Job Planning'!$A$4:$A$137,'Summary Closure Overview'!C8,'Job Planning'!$C$4:$C$137,"Awaiting RFI")
+COUNTIFS('Job Planning'!$A$4:$A$137,'Summary Closure Overview'!C8,'Job Planning'!$C$4:$C$137,"")</f>
        <v>8</v>
      </c>
      <c r="K8" s="89">
        <f>I8/H8</f>
        <v>0.33333333333333331</v>
      </c>
    </row>
    <row r="9" spans="3:12">
      <c r="C9" s="44" t="s">
        <v>6</v>
      </c>
      <c r="D9" s="31">
        <f>COUNTIF('Job Planning'!$A$4:$A$137,'Summary Closure Overview'!C9)</f>
        <v>3</v>
      </c>
      <c r="E9" s="11">
        <f>SUMIF('Job Planning'!$A$4:$A$137,'Summary Closure Overview'!C9,'Job Planning'!$M$4:$M$137)+SUMIF('Job Planning'!$A$4:$A$137,'Summary Closure Overview'!C9,'Job Planning'!$N$4:$N$137)</f>
        <v>11</v>
      </c>
      <c r="F9" s="11">
        <f>SUMIF('Job Planning'!$A$4:$A$137,'Summary Closure Overview'!C9,'Job Planning'!$M$4:$M$137)</f>
        <v>6</v>
      </c>
      <c r="G9" s="32">
        <f>SUMIF('Job Planning'!$A$4:$A$137,'Summary Closure Overview'!C9,'Job Planning'!$N$4:$N$137)</f>
        <v>5</v>
      </c>
      <c r="H9" s="31">
        <f>COUNTIFS('Job Planning'!$A$4:$A$137,'Summary Closure Overview'!C9,'Job Planning'!$B$4:$B$137,"&lt;&gt;")</f>
        <v>3</v>
      </c>
      <c r="I9" s="11">
        <f>COUNTIFS('Job Planning'!$A$4:$A$137,'Summary Closure Overview'!C9,'Job Planning'!$C$4:$C$137,"Completed")
+COUNTIFS('Job Planning'!$A$4:$A$137,'Summary Closure Overview'!C9,'Job Planning'!$C$4:$C$137,"Signed 1/5")
+COUNTIFS('Job Planning'!$A$4:$A$137,'Summary Closure Overview'!C9,'Job Planning'!$C$4:$C$137,"Signed 2/5")
+COUNTIFS('Job Planning'!$A$4:$A$137,'Summary Closure Overview'!C9,'Job Planning'!$C$4:$C$137,"Signed 3/5")
+COUNTIFS('Job Planning'!$A$4:$A$137,'Summary Closure Overview'!C9,'Job Planning'!$C$4:$C$137,"Signed 4/5")</f>
        <v>0</v>
      </c>
      <c r="J9" s="32">
        <f>COUNTIFS('Job Planning'!$A$4:$A$137,'Summary Closure Overview'!C9,'Job Planning'!$C$4:$C$137,"To Be Signed")
+COUNTIFS('Job Planning'!$A$4:$A$137,'Summary Closure Overview'!C9,'Job Planning'!$C$4:$C$137,"Started")
+COUNTIFS('Job Planning'!$A$4:$A$137,'Summary Closure Overview'!C9,'Job Planning'!$C$4:$C$137,"Awaiting RFI")
+COUNTIFS('Job Planning'!$A$4:$A$137,'Summary Closure Overview'!C9,'Job Planning'!$C$4:$C$137,"")</f>
        <v>3</v>
      </c>
      <c r="K9" s="90" t="s">
        <v>11</v>
      </c>
    </row>
    <row r="10" spans="3:12" ht="15" thickBot="1">
      <c r="C10" s="36" t="s">
        <v>0</v>
      </c>
      <c r="D10" s="33">
        <f>SUM(D6:D8)</f>
        <v>131</v>
      </c>
      <c r="E10" s="34">
        <f t="shared" ref="E10:I10" si="0">SUM(E6:E8)</f>
        <v>524</v>
      </c>
      <c r="F10" s="34">
        <f t="shared" si="0"/>
        <v>493</v>
      </c>
      <c r="G10" s="35">
        <f t="shared" si="0"/>
        <v>31</v>
      </c>
      <c r="H10" s="37">
        <f t="shared" si="0"/>
        <v>131</v>
      </c>
      <c r="I10" s="38">
        <f t="shared" si="0"/>
        <v>110</v>
      </c>
      <c r="J10" s="39">
        <f>SUM(J6:J8)</f>
        <v>21</v>
      </c>
      <c r="K10" s="91">
        <f>I10/H10</f>
        <v>0.83969465648854957</v>
      </c>
    </row>
    <row r="12" spans="3:12" ht="24" thickBot="1">
      <c r="C12" s="17" t="s">
        <v>161</v>
      </c>
      <c r="D12" s="12"/>
    </row>
    <row r="13" spans="3:12" ht="28.8">
      <c r="C13" s="40" t="s">
        <v>180</v>
      </c>
      <c r="D13" s="46" t="s">
        <v>158</v>
      </c>
      <c r="E13" s="47" t="s">
        <v>179</v>
      </c>
      <c r="F13" s="51" t="s">
        <v>159</v>
      </c>
      <c r="G13" s="46" t="s">
        <v>207</v>
      </c>
      <c r="H13" s="47" t="s">
        <v>208</v>
      </c>
      <c r="I13" s="48" t="s">
        <v>0</v>
      </c>
      <c r="J13" s="82" t="s">
        <v>1</v>
      </c>
      <c r="K13" s="83" t="s">
        <v>2</v>
      </c>
      <c r="L13" s="48" t="s">
        <v>209</v>
      </c>
    </row>
    <row r="14" spans="3:12">
      <c r="C14" s="44" t="s">
        <v>13</v>
      </c>
      <c r="D14" s="49">
        <f>COUNTIFS('Job Planning'!$A:$A,'Summary Closure Overview'!$C14,'Job Planning'!$C:$C,"Awaiting RFI",'Job Planning'!$E:$E,'Summary Closure Overview'!D$13)</f>
        <v>0</v>
      </c>
      <c r="E14" s="1">
        <f>COUNTIFS('Job Planning'!$A:$A,'Summary Closure Overview'!$C14,'Job Planning'!$C:$C,"Awaiting RFI",'Job Planning'!$E:$E,'Summary Closure Overview'!E$13)</f>
        <v>2</v>
      </c>
      <c r="F14" s="50">
        <f>COUNTIFS('Job Planning'!$A:$A,'Summary Closure Overview'!$C14,'Job Planning'!$C:$C,"Awaiting RFI",'Job Planning'!$E:$E,'Summary Closure Overview'!F$13)</f>
        <v>11</v>
      </c>
      <c r="G14" s="49">
        <f>COUNTIFS('Job Planning'!$A:$A,'Summary Closure Overview'!$C14,'Job Planning'!$C:$C,"")</f>
        <v>0</v>
      </c>
      <c r="H14" s="1">
        <f>COUNTIFS('Job Planning'!$A:$A,'Summary Closure Overview'!$C14,'Job Planning'!$C:$C,"Awaiting RFI",'Job Planning'!$E:$E,"")</f>
        <v>0</v>
      </c>
      <c r="I14" s="50">
        <f>SUM(D14:H14)</f>
        <v>13</v>
      </c>
      <c r="J14" s="49" t="s">
        <v>172</v>
      </c>
      <c r="K14" s="3">
        <f>IF(_xlfn.MAXIFS('Job Planning'!S:S,'Job Planning'!A:A,'Summary Closure Overview'!C14)=0,"Completed",_xlfn.MAXIFS('Job Planning'!S:S,'Job Planning'!A:A,'Summary Closure Overview'!C14))</f>
        <v>46881</v>
      </c>
      <c r="L14" s="84" t="str">
        <f>IFERROR(IF($K14&lt;&gt;"","WK "&amp;INT(($K14- DATE(2028,1,6)) / 7) + 1&amp;" (28')",""),"Cancelled")</f>
        <v>WK 18 (28')</v>
      </c>
    </row>
    <row r="15" spans="3:12">
      <c r="C15" s="44" t="s">
        <v>19</v>
      </c>
      <c r="D15" s="49">
        <f>COUNTIFS('Job Planning'!$A:$A,'Summary Closure Overview'!$C15,'Job Planning'!$C:$C,"Awaiting RFI",'Job Planning'!$E:$E,'Summary Closure Overview'!D$13)</f>
        <v>0</v>
      </c>
      <c r="E15" s="1">
        <f>COUNTIFS('Job Planning'!$A:$A,'Summary Closure Overview'!$C15,'Job Planning'!$C:$C,"Awaiting RFI",'Job Planning'!$E:$E,'Summary Closure Overview'!E$13)</f>
        <v>0</v>
      </c>
      <c r="F15" s="50">
        <f>COUNTIFS('Job Planning'!$A:$A,'Summary Closure Overview'!$C15,'Job Planning'!$C:$C,"Awaiting RFI",'Job Planning'!$E:$E,'Summary Closure Overview'!F$13)</f>
        <v>0</v>
      </c>
      <c r="G15" s="49">
        <f>COUNTIFS('Job Planning'!$A:$A,'Summary Closure Overview'!$C15,'Job Planning'!$C:$C,"")</f>
        <v>0</v>
      </c>
      <c r="H15" s="1">
        <f>COUNTIFS('Job Planning'!$A:$A,'Summary Closure Overview'!$C15,'Job Planning'!$C:$C,"Awaiting RFI",'Job Planning'!$E:$E,"")</f>
        <v>0</v>
      </c>
      <c r="I15" s="50">
        <f t="shared" ref="I15:I17" si="1">SUM(D15:H15)</f>
        <v>0</v>
      </c>
      <c r="J15" s="49" t="s">
        <v>170</v>
      </c>
      <c r="K15" s="3" t="str">
        <f>IF(_xlfn.MAXIFS('Job Planning'!S:S,'Job Planning'!A:A,'Summary Closure Overview'!C15)=0,"Completed",_xlfn.MAXIFS('Job Planning'!S:S,'Job Planning'!A:A,'Summary Closure Overview'!C15))</f>
        <v>Completed</v>
      </c>
      <c r="L15" s="84" t="str">
        <f>IFERROR(IF($K15&lt;&gt;"","WK "&amp;INT(($K15- DATE(2027,1,1)) / 7) + 1&amp;" (27')",""),"Completed")</f>
        <v>Completed</v>
      </c>
    </row>
    <row r="16" spans="3:12">
      <c r="C16" s="44" t="s">
        <v>18</v>
      </c>
      <c r="D16" s="49">
        <f>COUNTIFS('Job Planning'!$A:$A,'Summary Closure Overview'!$C16,'Job Planning'!$C:$C,"Awaiting RFI",'Job Planning'!$E:$E,'Summary Closure Overview'!D$13)</f>
        <v>0</v>
      </c>
      <c r="E16" s="1">
        <f>COUNTIFS('Job Planning'!$A:$A,'Summary Closure Overview'!$C16,'Job Planning'!$C:$C,"Awaiting RFI",'Job Planning'!$E:$E,'Summary Closure Overview'!E$13)</f>
        <v>3</v>
      </c>
      <c r="F16" s="50">
        <f>COUNTIFS('Job Planning'!$A:$A,'Summary Closure Overview'!$C16,'Job Planning'!$C:$C,"Awaiting RFI",'Job Planning'!$E:$E,'Summary Closure Overview'!F$13)</f>
        <v>1</v>
      </c>
      <c r="G16" s="49">
        <f>COUNTIFS('Job Planning'!$A:$A,'Summary Closure Overview'!$C16,'Job Planning'!$C:$C,"")</f>
        <v>3</v>
      </c>
      <c r="H16" s="1">
        <f>COUNTIFS('Job Planning'!$A:$A,'Summary Closure Overview'!$C16,'Job Planning'!$C:$C,"Awaiting RFI",'Job Planning'!$E:$E,"")</f>
        <v>1</v>
      </c>
      <c r="I16" s="50">
        <f t="shared" si="1"/>
        <v>8</v>
      </c>
      <c r="J16" s="49" t="s">
        <v>171</v>
      </c>
      <c r="K16" s="3">
        <f>IF(_xlfn.MAXIFS('Job Planning'!S:S,'Job Planning'!A:A,'Summary Closure Overview'!C16)=0,"Completed",_xlfn.MAXIFS('Job Planning'!S:S,'Job Planning'!A:A,'Summary Closure Overview'!C16))</f>
        <v>46881</v>
      </c>
      <c r="L16" s="84" t="str">
        <f>IFERROR(IF($K16&lt;&gt;"","WK "&amp;INT(($K16- DATE(2028,1,6)) / 7) + 1&amp;" (28')",""),"Cancelled")</f>
        <v>WK 18 (28')</v>
      </c>
    </row>
    <row r="17" spans="3:12">
      <c r="C17" s="44" t="s">
        <v>6</v>
      </c>
      <c r="D17" s="49">
        <f>COUNTIFS('Job Planning'!$A:$A,'Summary Closure Overview'!$C17,'Job Planning'!$C:$C,"Awaiting RFI",'Job Planning'!$E:$E,'Summary Closure Overview'!D$13)</f>
        <v>3</v>
      </c>
      <c r="E17" s="1">
        <f>COUNTIFS('Job Planning'!$A:$A,'Summary Closure Overview'!$C17,'Job Planning'!$C:$C,"Awaiting RFI",'Job Planning'!$E:$E,'Summary Closure Overview'!E$13)</f>
        <v>0</v>
      </c>
      <c r="F17" s="50">
        <f>COUNTIFS('Job Planning'!$A:$A,'Summary Closure Overview'!$C17,'Job Planning'!$C:$C,"Awaiting RFI",'Job Planning'!$E:$E,'Summary Closure Overview'!F$13)</f>
        <v>0</v>
      </c>
      <c r="G17" s="49">
        <f>COUNTIFS('Job Planning'!$A:$A,'Summary Closure Overview'!$C17,'Job Planning'!$C:$C,"")</f>
        <v>0</v>
      </c>
      <c r="H17" s="1">
        <f>COUNTIFS('Job Planning'!$A:$A,'Summary Closure Overview'!$C17,'Job Planning'!$C:$C,"Awaiting RFI",'Job Planning'!$E:$E,"")</f>
        <v>0</v>
      </c>
      <c r="I17" s="50">
        <f t="shared" si="1"/>
        <v>3</v>
      </c>
      <c r="J17" s="49" t="s">
        <v>11</v>
      </c>
      <c r="K17" s="3">
        <f>IF(_xlfn.MAXIFS('Job Planning'!S:S,'Job Planning'!A:A,'Summary Closure Overview'!C17)=0,"Completed",_xlfn.MAXIFS('Job Planning'!S:S,'Job Planning'!A:A,'Summary Closure Overview'!C17))</f>
        <v>46910</v>
      </c>
      <c r="L17" s="84" t="str">
        <f>IFERROR(IF($K17&lt;&gt;"","WK "&amp;INT(($K17- DATE(2028,1,6)) / 7) + 1&amp;" (28')",""),"Cancelled")</f>
        <v>WK 22 (28')</v>
      </c>
    </row>
    <row r="18" spans="3:12" ht="15" thickBot="1">
      <c r="C18" s="36" t="s">
        <v>0</v>
      </c>
      <c r="D18" s="33">
        <f>SUM(D14:D16)</f>
        <v>0</v>
      </c>
      <c r="E18" s="34">
        <f t="shared" ref="E18:H18" si="2">SUM(E14:E16)</f>
        <v>5</v>
      </c>
      <c r="F18" s="35">
        <f t="shared" si="2"/>
        <v>12</v>
      </c>
      <c r="G18" s="37">
        <f t="shared" si="2"/>
        <v>3</v>
      </c>
      <c r="H18" s="38">
        <f t="shared" si="2"/>
        <v>1</v>
      </c>
      <c r="I18" s="39">
        <f>SUM(I14:I16)</f>
        <v>21</v>
      </c>
      <c r="J18" s="85"/>
      <c r="K18" s="86"/>
      <c r="L18" s="87"/>
    </row>
    <row r="20" spans="3:12" ht="23.4">
      <c r="C20" s="17" t="s">
        <v>425</v>
      </c>
    </row>
    <row r="21" spans="3:12">
      <c r="C21" s="101" t="s">
        <v>416</v>
      </c>
      <c r="D21" s="102" t="s">
        <v>417</v>
      </c>
    </row>
    <row r="22" spans="3:12">
      <c r="C22" s="99" t="s">
        <v>239</v>
      </c>
      <c r="D22" s="100" t="s">
        <v>240</v>
      </c>
    </row>
    <row r="23" spans="3:12">
      <c r="C23" s="99" t="s">
        <v>241</v>
      </c>
      <c r="D23" s="100" t="s">
        <v>242</v>
      </c>
    </row>
    <row r="24" spans="3:12">
      <c r="C24" s="99" t="s">
        <v>243</v>
      </c>
      <c r="D24" s="100" t="s">
        <v>244</v>
      </c>
    </row>
    <row r="25" spans="3:12">
      <c r="C25" s="99" t="s">
        <v>245</v>
      </c>
      <c r="D25" s="100" t="s">
        <v>246</v>
      </c>
    </row>
    <row r="26" spans="3:12">
      <c r="C26" s="99" t="s">
        <v>247</v>
      </c>
      <c r="D26" s="100" t="s">
        <v>248</v>
      </c>
    </row>
    <row r="27" spans="3:12">
      <c r="C27" s="99" t="s">
        <v>249</v>
      </c>
      <c r="D27" s="100" t="s">
        <v>249</v>
      </c>
    </row>
    <row r="28" spans="3:12">
      <c r="C28" s="99" t="s">
        <v>250</v>
      </c>
      <c r="D28" s="100" t="s">
        <v>251</v>
      </c>
    </row>
    <row r="29" spans="3:12">
      <c r="C29" s="99" t="s">
        <v>252</v>
      </c>
      <c r="D29" s="100" t="s">
        <v>423</v>
      </c>
    </row>
    <row r="30" spans="3:12">
      <c r="C30" s="99" t="s">
        <v>253</v>
      </c>
      <c r="D30" s="100" t="s">
        <v>254</v>
      </c>
    </row>
    <row r="31" spans="3:12">
      <c r="C31" s="99" t="s">
        <v>255</v>
      </c>
      <c r="D31" s="100" t="s">
        <v>256</v>
      </c>
    </row>
    <row r="32" spans="3:12">
      <c r="C32" s="99" t="s">
        <v>257</v>
      </c>
      <c r="D32" s="100" t="s">
        <v>258</v>
      </c>
    </row>
    <row r="33" spans="3:4">
      <c r="C33" s="99" t="s">
        <v>259</v>
      </c>
      <c r="D33" s="100" t="s">
        <v>260</v>
      </c>
    </row>
    <row r="34" spans="3:4">
      <c r="C34" s="99" t="s">
        <v>261</v>
      </c>
      <c r="D34" s="100" t="s">
        <v>262</v>
      </c>
    </row>
    <row r="35" spans="3:4">
      <c r="C35" s="99" t="s">
        <v>263</v>
      </c>
      <c r="D35" s="100" t="s">
        <v>264</v>
      </c>
    </row>
    <row r="36" spans="3:4">
      <c r="C36" s="99" t="s">
        <v>265</v>
      </c>
      <c r="D36" s="100" t="s">
        <v>158</v>
      </c>
    </row>
    <row r="37" spans="3:4">
      <c r="C37" s="99" t="s">
        <v>266</v>
      </c>
      <c r="D37" s="100" t="s">
        <v>267</v>
      </c>
    </row>
    <row r="38" spans="3:4">
      <c r="C38" s="99" t="s">
        <v>268</v>
      </c>
      <c r="D38" s="100" t="s">
        <v>269</v>
      </c>
    </row>
    <row r="39" spans="3:4">
      <c r="C39" s="99" t="s">
        <v>270</v>
      </c>
      <c r="D39" s="100" t="s">
        <v>424</v>
      </c>
    </row>
    <row r="40" spans="3:4">
      <c r="C40" s="103" t="s">
        <v>271</v>
      </c>
      <c r="D40" s="104" t="s">
        <v>272</v>
      </c>
    </row>
  </sheetData>
  <conditionalFormatting sqref="K6:K9">
    <cfRule type="dataBar" priority="550">
      <dataBar>
        <cfvo type="min"/>
        <cfvo type="max"/>
        <color rgb="FF63C384"/>
      </dataBar>
      <extLst>
        <ext xmlns:x14="http://schemas.microsoft.com/office/spreadsheetml/2009/9/main" uri="{B025F937-C7B1-47D3-B67F-A62EFF666E3E}">
          <x14:id>{166DD981-6608-4485-8884-632B539FD500}</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66DD981-6608-4485-8884-632B539FD500}">
            <x14:dataBar minLength="0" maxLength="100" border="1" negativeBarBorderColorSameAsPositive="0">
              <x14:cfvo type="autoMin"/>
              <x14:cfvo type="autoMax"/>
              <x14:borderColor rgb="FF63C384"/>
              <x14:negativeFillColor rgb="FFFF0000"/>
              <x14:negativeBorderColor rgb="FFFF0000"/>
              <x14:axisColor rgb="FF000000"/>
            </x14:dataBar>
          </x14:cfRule>
          <xm:sqref>K6:K9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B030E-A3D8-496A-A5DC-B2F946C3C5A6}">
  <sheetPr codeName="Sheet3">
    <tabColor rgb="FFFFC000"/>
    <pageSetUpPr fitToPage="1"/>
  </sheetPr>
  <dimension ref="A1:W10938"/>
  <sheetViews>
    <sheetView topLeftCell="L1" zoomScale="85" zoomScaleNormal="85" workbookViewId="0">
      <pane ySplit="3" topLeftCell="A4" activePane="bottomLeft" state="frozen"/>
      <selection activeCell="E25" sqref="E25"/>
      <selection pane="bottomLeft" activeCell="U13" sqref="U13"/>
    </sheetView>
  </sheetViews>
  <sheetFormatPr defaultRowHeight="15" customHeight="1" zeroHeight="1"/>
  <cols>
    <col min="1" max="1" width="14.33203125" style="2" bestFit="1" customWidth="1"/>
    <col min="2" max="2" width="29" style="2" bestFit="1" customWidth="1"/>
    <col min="3" max="3" width="15.44140625" customWidth="1"/>
    <col min="4" max="4" width="12.5546875" customWidth="1"/>
    <col min="5" max="5" width="22.88671875" style="2" customWidth="1"/>
    <col min="6" max="6" width="39.5546875" customWidth="1"/>
    <col min="7" max="7" width="28.5546875" bestFit="1" customWidth="1"/>
    <col min="8" max="10" width="14.44140625" customWidth="1"/>
    <col min="11" max="11" width="14.44140625" style="2" customWidth="1"/>
    <col min="12" max="12" width="29.33203125" style="2" customWidth="1"/>
    <col min="13" max="13" width="14.88671875" style="2" bestFit="1" customWidth="1"/>
    <col min="14" max="14" width="16.109375" style="2" bestFit="1" customWidth="1"/>
    <col min="15" max="15" width="9" style="2" customWidth="1"/>
    <col min="16" max="16" width="10.88671875" style="2" customWidth="1"/>
    <col min="17" max="17" width="9.44140625" style="2" customWidth="1"/>
    <col min="18" max="18" width="60.109375" customWidth="1"/>
    <col min="19" max="19" width="18.6640625" customWidth="1"/>
    <col min="20" max="20" width="16" style="29" customWidth="1"/>
    <col min="21" max="21" width="28.77734375" bestFit="1" customWidth="1"/>
    <col min="22" max="22" width="28.77734375" style="10" bestFit="1" customWidth="1"/>
    <col min="23" max="23" width="18.109375" bestFit="1" customWidth="1"/>
  </cols>
  <sheetData>
    <row r="1" spans="1:23" ht="14.4">
      <c r="A1" s="24"/>
      <c r="B1" s="24"/>
      <c r="C1" s="25"/>
      <c r="D1" s="25"/>
      <c r="E1" s="24"/>
      <c r="F1" s="25"/>
      <c r="G1" s="25"/>
      <c r="H1" s="25"/>
      <c r="I1" s="25"/>
      <c r="J1" s="25"/>
      <c r="K1" s="24"/>
      <c r="L1" s="24"/>
      <c r="M1" s="24"/>
      <c r="N1" s="24"/>
      <c r="O1" s="24"/>
      <c r="P1" s="24"/>
      <c r="Q1" s="24"/>
      <c r="R1" s="25"/>
      <c r="S1" s="25"/>
      <c r="T1" s="25"/>
      <c r="U1" s="25"/>
      <c r="V1" s="25"/>
      <c r="W1" s="25"/>
    </row>
    <row r="2" spans="1:23" ht="14.4">
      <c r="A2" s="24"/>
      <c r="B2" s="24"/>
      <c r="C2" s="25"/>
      <c r="D2" s="25"/>
      <c r="E2" s="24"/>
      <c r="F2" s="25"/>
      <c r="G2" s="25"/>
      <c r="H2" s="25"/>
      <c r="I2" s="25"/>
      <c r="J2" s="25"/>
      <c r="K2" s="24"/>
      <c r="L2" s="24"/>
      <c r="M2" s="24"/>
      <c r="N2" s="24"/>
      <c r="O2" s="24"/>
      <c r="P2" s="24"/>
      <c r="Q2" s="24"/>
      <c r="R2" s="25"/>
      <c r="S2" s="25"/>
      <c r="T2" s="25"/>
      <c r="U2" s="25"/>
      <c r="V2" s="25"/>
      <c r="W2" s="25"/>
    </row>
    <row r="3" spans="1:23" s="52" customFormat="1" ht="33.75" customHeight="1">
      <c r="A3" s="92" t="s">
        <v>180</v>
      </c>
      <c r="B3" s="92" t="s">
        <v>14</v>
      </c>
      <c r="C3" s="92" t="s">
        <v>17</v>
      </c>
      <c r="D3" s="92" t="s">
        <v>15</v>
      </c>
      <c r="E3" s="92" t="s">
        <v>4</v>
      </c>
      <c r="F3" s="92" t="s">
        <v>16</v>
      </c>
      <c r="G3" s="93" t="s">
        <v>220</v>
      </c>
      <c r="H3" s="93" t="s">
        <v>419</v>
      </c>
      <c r="I3" s="93" t="s">
        <v>420</v>
      </c>
      <c r="J3" s="93" t="s">
        <v>421</v>
      </c>
      <c r="K3" s="93" t="s">
        <v>422</v>
      </c>
      <c r="L3" s="93" t="s">
        <v>151</v>
      </c>
      <c r="M3" s="93" t="s">
        <v>152</v>
      </c>
      <c r="N3" s="93" t="s">
        <v>153</v>
      </c>
      <c r="O3" s="94" t="s">
        <v>154</v>
      </c>
      <c r="P3" s="94" t="s">
        <v>156</v>
      </c>
      <c r="Q3" s="94" t="s">
        <v>157</v>
      </c>
      <c r="R3" s="94" t="s">
        <v>155</v>
      </c>
      <c r="S3" s="92" t="s">
        <v>181</v>
      </c>
      <c r="T3" s="92" t="s">
        <v>182</v>
      </c>
      <c r="U3" s="92" t="s">
        <v>183</v>
      </c>
      <c r="V3" s="92" t="s">
        <v>184</v>
      </c>
      <c r="W3" s="92" t="s">
        <v>185</v>
      </c>
    </row>
    <row r="4" spans="1:23" ht="14.4">
      <c r="A4" s="7" t="s">
        <v>18</v>
      </c>
      <c r="B4" s="7" t="s">
        <v>142</v>
      </c>
      <c r="C4" s="7" t="s">
        <v>8</v>
      </c>
      <c r="D4" s="6" t="str">
        <f>IF(AND('Job Planning'!$L4="",'Job Planning'!$O4=0)=TRUE,"Can Close","Can't")</f>
        <v>Can Close</v>
      </c>
      <c r="E4" s="6" t="str">
        <f>_xlfn.TEXTJOIN(", ",TRUE,IF(N4=0,"","Inspection"),IF('Job Planning'!$O4=0,"","Defect"))</f>
        <v/>
      </c>
      <c r="F4" s="21"/>
      <c r="G4" s="8" t="s">
        <v>306</v>
      </c>
      <c r="H4" s="7" t="s">
        <v>8</v>
      </c>
      <c r="I4" s="7" t="s">
        <v>8</v>
      </c>
      <c r="J4" s="7" t="s">
        <v>8</v>
      </c>
      <c r="K4" s="7" t="s">
        <v>8</v>
      </c>
      <c r="L4" s="19" t="str">
        <f>_xlfn.TEXTJOIN(", ",TRUE,
IF(ISNUMBER(MATCH('Job Planning'!$H4,{"To Be Signed","Started","Awaiting RFI","Outstanding","RFI Scheduled"},0)),"Stage 1",""),
IF(ISNUMBER(MATCH('Job Planning'!$I4,{"To Be Signed","Started","Awaiting RFI","Outstanding","RFI Scheduled"},0)),"Stage 2",""),
IF(ISNUMBER(MATCH('Job Planning'!$J4,{"To Be Signed","Started","Awaiting RFI","Outstanding","RFI Scheduled"},0)),"Stage 3",""),
IF(ISNUMBER(MATCH('Job Planning'!$K4,{"To Be Signed","Started","Awaiting RFI","Outstanding","RFI Scheduled"},0)),"Stage 4",""))</f>
        <v/>
      </c>
      <c r="M4" s="7">
        <f>4-COUNTIF('Job Planning'!$H4:$K4,"N/A")-_xlfn.LET(_xlpm.pending,LEN('Job Planning'!$L4)-LEN(SUBSTITUTE('Job Planning'!$L4,",",""))+1,IF('Job Planning'!$L4="",0,_xlpm.pending))</f>
        <v>4</v>
      </c>
      <c r="N4" s="7">
        <f>_xlfn.LET(_xlpm.pending,LEN('Job Planning'!$L4)-LEN(SUBSTITUTE('Job Planning'!$L4,",",""))+1,IF('Job Planning'!$L4="",0,_xlpm.pending))</f>
        <v>0</v>
      </c>
      <c r="O4" s="7">
        <f>SUM('Job Planning'!$P4:$Q4)</f>
        <v>0</v>
      </c>
      <c r="P4" s="7">
        <f>COUNTIFS('Defect List'!C:C,'Job Planning'!G4,'Defect List'!B:B,"Outstanding",'Defect List'!G:G,"Major")</f>
        <v>0</v>
      </c>
      <c r="Q4" s="7">
        <f>COUNTIFS('Defect List'!C:C,'Job Planning'!G4,'Defect List'!B:B,"Outstanding",'Defect List'!G:G,"Minor")</f>
        <v>0</v>
      </c>
      <c r="R4" s="8" t="str" cm="1">
        <f t="array" ref="R4">_xlfn.TEXTJOIN("
",TRUE,_xlfn._xlws.FILTER('Outstanding Defect (PQ)'!G:G,'Outstanding Defect (PQ)'!B:B='Job Planning'!G4,""))</f>
        <v/>
      </c>
      <c r="S4" s="3"/>
      <c r="T4" s="30" t="str">
        <f>_xlfn.TEXTAFTER(G4,"-",-2)</f>
        <v>ELEC-8244</v>
      </c>
      <c r="U4" s="1" t="str">
        <f>IF(_xlfn.XLOOKUP('Job Planning'!$G4,Search!B:B,Search!C:C,"",0)="","",_xlfn.XLOOKUP('Job Planning'!$G4,Search!B:B,Search!C:C,"",0))</f>
        <v/>
      </c>
      <c r="V4" s="1" t="str">
        <f>_xlfn.XLOOKUP('Job Planning'!$T4,Search!A:A,Search!C:C,"",0)</f>
        <v/>
      </c>
      <c r="W4" s="1" t="str">
        <f>_xlfn.XLOOKUP('Job Planning'!$B4,Search!B:B,Search!C:C,"",0)</f>
        <v/>
      </c>
    </row>
    <row r="5" spans="1:23" ht="14.4">
      <c r="A5" s="7" t="s">
        <v>18</v>
      </c>
      <c r="B5" s="7" t="s">
        <v>143</v>
      </c>
      <c r="C5" s="7" t="s">
        <v>8</v>
      </c>
      <c r="D5" s="6" t="str">
        <f>IF(AND('Job Planning'!$L5="",'Job Planning'!$O5=0)=TRUE,"Can Close","Can't")</f>
        <v>Can Close</v>
      </c>
      <c r="E5" s="6" t="str">
        <f>_xlfn.TEXTJOIN(", ",TRUE,IF(N5=0,"","Inspection"),IF('Job Planning'!$O5=0,"","Defect"))</f>
        <v/>
      </c>
      <c r="F5" s="21"/>
      <c r="G5" s="8" t="s">
        <v>307</v>
      </c>
      <c r="H5" s="7" t="s">
        <v>8</v>
      </c>
      <c r="I5" s="7" t="s">
        <v>8</v>
      </c>
      <c r="J5" s="7" t="s">
        <v>8</v>
      </c>
      <c r="K5" s="7" t="s">
        <v>8</v>
      </c>
      <c r="L5" s="19" t="str">
        <f>_xlfn.TEXTJOIN(", ",TRUE,
IF(ISNUMBER(MATCH('Job Planning'!$H5,{"To Be Signed","Started","Awaiting RFI","Outstanding","RFI Scheduled"},0)),"Stage 1",""),
IF(ISNUMBER(MATCH('Job Planning'!$I5,{"To Be Signed","Started","Awaiting RFI","Outstanding","RFI Scheduled"},0)),"Stage 2",""),
IF(ISNUMBER(MATCH('Job Planning'!$J5,{"To Be Signed","Started","Awaiting RFI","Outstanding","RFI Scheduled"},0)),"Stage 3",""),
IF(ISNUMBER(MATCH('Job Planning'!$K5,{"To Be Signed","Started","Awaiting RFI","Outstanding","RFI Scheduled"},0)),"Stage 4",""))</f>
        <v/>
      </c>
      <c r="M5" s="7">
        <f>4-COUNTIF('Job Planning'!$H5:$K5,"N/A")-_xlfn.LET(_xlpm.pending,LEN('Job Planning'!$L5)-LEN(SUBSTITUTE('Job Planning'!$L5,",",""))+1,IF('Job Planning'!$L5="",0,_xlpm.pending))</f>
        <v>4</v>
      </c>
      <c r="N5" s="7">
        <f>_xlfn.LET(_xlpm.pending,LEN('Job Planning'!$L5)-LEN(SUBSTITUTE('Job Planning'!$L5,",",""))+1,IF('Job Planning'!$L5="",0,_xlpm.pending))</f>
        <v>0</v>
      </c>
      <c r="O5" s="7">
        <f>SUM('Job Planning'!$P5:$Q5)</f>
        <v>0</v>
      </c>
      <c r="P5" s="7">
        <f>COUNTIFS('Defect List'!C:C,'Job Planning'!G5,'Defect List'!B:B,"Outstanding",'Defect List'!G:G,"Major")</f>
        <v>0</v>
      </c>
      <c r="Q5" s="7">
        <f>COUNTIFS('Defect List'!C:C,'Job Planning'!G5,'Defect List'!B:B,"Outstanding",'Defect List'!G:G,"Minor")</f>
        <v>0</v>
      </c>
      <c r="R5" s="8" t="str" cm="1">
        <f t="array" ref="R5">_xlfn.TEXTJOIN("
",TRUE,_xlfn._xlws.FILTER('Outstanding Defect (PQ)'!G:G,'Outstanding Defect (PQ)'!B:B='Job Planning'!G5,""))</f>
        <v/>
      </c>
      <c r="S5" s="3"/>
      <c r="T5" s="30" t="str">
        <f>_xlfn.TEXTAFTER(G5,"-",-2)</f>
        <v>MECH-8255</v>
      </c>
      <c r="U5" s="1" t="str">
        <f>IF(_xlfn.XLOOKUP('Job Planning'!$G5,Search!B:B,Search!C:C,"",0)="","",_xlfn.XLOOKUP('Job Planning'!$G5,Search!B:B,Search!C:C,"",0))</f>
        <v/>
      </c>
      <c r="V5" s="1" t="str">
        <f>_xlfn.XLOOKUP('Job Planning'!$T5,Search!A:A,Search!C:C,"",0)</f>
        <v/>
      </c>
      <c r="W5" s="1" t="str">
        <f>_xlfn.XLOOKUP('Job Planning'!$B5,Search!B:B,Search!C:C,"",0)</f>
        <v/>
      </c>
    </row>
    <row r="6" spans="1:23" ht="14.4">
      <c r="A6" s="7" t="s">
        <v>18</v>
      </c>
      <c r="B6" s="7" t="s">
        <v>144</v>
      </c>
      <c r="C6" s="7" t="s">
        <v>8</v>
      </c>
      <c r="D6" s="6" t="str">
        <f>IF(AND('Job Planning'!$L6="",'Job Planning'!$O6=0)=TRUE,"Can Close","Can't")</f>
        <v>Can Close</v>
      </c>
      <c r="E6" s="6" t="str">
        <f>_xlfn.TEXTJOIN(", ",TRUE,IF(N6=0,"","Inspection"),IF('Job Planning'!$O6=0,"","Defect"))</f>
        <v/>
      </c>
      <c r="F6" s="21"/>
      <c r="G6" s="8" t="s">
        <v>308</v>
      </c>
      <c r="H6" s="7" t="s">
        <v>8</v>
      </c>
      <c r="I6" s="7" t="s">
        <v>8</v>
      </c>
      <c r="J6" s="7" t="s">
        <v>8</v>
      </c>
      <c r="K6" s="7" t="s">
        <v>8</v>
      </c>
      <c r="L6" s="19" t="str">
        <f>_xlfn.TEXTJOIN(", ",TRUE,
IF(ISNUMBER(MATCH('Job Planning'!$H6,{"To Be Signed","Started","Awaiting RFI","Outstanding","RFI Scheduled"},0)),"Stage 1",""),
IF(ISNUMBER(MATCH('Job Planning'!$I6,{"To Be Signed","Started","Awaiting RFI","Outstanding","RFI Scheduled"},0)),"Stage 2",""),
IF(ISNUMBER(MATCH('Job Planning'!$J6,{"To Be Signed","Started","Awaiting RFI","Outstanding","RFI Scheduled"},0)),"Stage 3",""),
IF(ISNUMBER(MATCH('Job Planning'!$K6,{"To Be Signed","Started","Awaiting RFI","Outstanding","RFI Scheduled"},0)),"Stage 4",""))</f>
        <v/>
      </c>
      <c r="M6" s="7">
        <f>4-COUNTIF('Job Planning'!$H6:$K6,"N/A")-_xlfn.LET(_xlpm.pending,LEN('Job Planning'!$L6)-LEN(SUBSTITUTE('Job Planning'!$L6,",",""))+1,IF('Job Planning'!$L6="",0,_xlpm.pending))</f>
        <v>4</v>
      </c>
      <c r="N6" s="7">
        <f>_xlfn.LET(_xlpm.pending,LEN('Job Planning'!$L6)-LEN(SUBSTITUTE('Job Planning'!$L6,",",""))+1,IF('Job Planning'!$L6="",0,_xlpm.pending))</f>
        <v>0</v>
      </c>
      <c r="O6" s="7">
        <f>SUM('Job Planning'!$P6:$Q6)</f>
        <v>0</v>
      </c>
      <c r="P6" s="7">
        <f>COUNTIFS('Defect List'!C:C,'Job Planning'!G6,'Defect List'!B:B,"Outstanding",'Defect List'!G:G,"Major")</f>
        <v>0</v>
      </c>
      <c r="Q6" s="7">
        <f>COUNTIFS('Defect List'!C:C,'Job Planning'!G6,'Defect List'!B:B,"Outstanding",'Defect List'!G:G,"Minor")</f>
        <v>0</v>
      </c>
      <c r="R6" s="8" t="str" cm="1">
        <f t="array" ref="R6">_xlfn.TEXTJOIN("
",TRUE,_xlfn._xlws.FILTER('Outstanding Defect (PQ)'!G:G,'Outstanding Defect (PQ)'!B:B='Job Planning'!G6,""))</f>
        <v/>
      </c>
      <c r="S6" s="3"/>
      <c r="T6" s="30" t="str">
        <f>_xlfn.TEXTAFTER(G6,"-",-2)</f>
        <v>MECH-8254</v>
      </c>
      <c r="U6" s="1" t="str">
        <f>IF(_xlfn.XLOOKUP('Job Planning'!$G6,Search!B:B,Search!C:C,"",0)="","",_xlfn.XLOOKUP('Job Planning'!$G6,Search!B:B,Search!C:C,"",0))</f>
        <v/>
      </c>
      <c r="V6" s="1" t="str">
        <f>_xlfn.XLOOKUP('Job Planning'!$T6,Search!A:A,Search!C:C,"",0)</f>
        <v/>
      </c>
      <c r="W6" s="1" t="str">
        <f>_xlfn.XLOOKUP('Job Planning'!$B6,Search!B:B,Search!C:C,"",0)</f>
        <v/>
      </c>
    </row>
    <row r="7" spans="1:23" ht="14.4">
      <c r="A7" s="1" t="s">
        <v>18</v>
      </c>
      <c r="B7" s="1" t="s">
        <v>145</v>
      </c>
      <c r="C7" s="1" t="s">
        <v>7</v>
      </c>
      <c r="D7" s="3" t="str">
        <f>IF(AND('Job Planning'!$L7="",'Job Planning'!$O7=0)=TRUE,"Can Close","Can't")</f>
        <v>Can Close</v>
      </c>
      <c r="E7" s="3" t="str">
        <f>_xlfn.TEXTJOIN(", ",TRUE,IF(N7=0,"","Inspection"),IF('Job Planning'!$O7=0,"","Defect"))</f>
        <v/>
      </c>
      <c r="F7" s="5" t="s">
        <v>206</v>
      </c>
      <c r="G7" s="4" t="s">
        <v>309</v>
      </c>
      <c r="H7" s="1" t="s">
        <v>8</v>
      </c>
      <c r="I7" s="1" t="s">
        <v>8</v>
      </c>
      <c r="J7" s="1" t="s">
        <v>8</v>
      </c>
      <c r="K7" s="1" t="s">
        <v>8</v>
      </c>
      <c r="L7" s="28" t="str">
        <f>_xlfn.TEXTJOIN(", ",TRUE,
IF(ISNUMBER(MATCH('Job Planning'!$H7,{"To Be Signed","Started","Awaiting RFI","Outstanding","RFI Scheduled"},0)),"Stage 1",""),
IF(ISNUMBER(MATCH('Job Planning'!$I7,{"To Be Signed","Started","Awaiting RFI","Outstanding","RFI Scheduled"},0)),"Stage 2",""),
IF(ISNUMBER(MATCH('Job Planning'!$J7,{"To Be Signed","Started","Awaiting RFI","Outstanding","RFI Scheduled"},0)),"Stage 3",""),
IF(ISNUMBER(MATCH('Job Planning'!$K7,{"To Be Signed","Started","Awaiting RFI","Outstanding","RFI Scheduled"},0)),"Stage 4",""))</f>
        <v/>
      </c>
      <c r="M7" s="1">
        <f>4-COUNTIF('Job Planning'!$H7:$K7,"N/A")-_xlfn.LET(_xlpm.pending,LEN('Job Planning'!$L7)-LEN(SUBSTITUTE('Job Planning'!$L7,",",""))+1,IF('Job Planning'!$L7="",0,_xlpm.pending))</f>
        <v>4</v>
      </c>
      <c r="N7" s="1">
        <f>_xlfn.LET(_xlpm.pending,LEN('Job Planning'!$L7)-LEN(SUBSTITUTE('Job Planning'!$L7,",",""))+1,IF('Job Planning'!$L7="",0,_xlpm.pending))</f>
        <v>0</v>
      </c>
      <c r="O7" s="1">
        <f>SUM('Job Planning'!$P7:$Q7)</f>
        <v>0</v>
      </c>
      <c r="P7" s="1">
        <f>COUNTIFS('Defect List'!C:C,'Job Planning'!G7,'Defect List'!B:B,"Outstanding",'Defect List'!G:G,"Major")</f>
        <v>0</v>
      </c>
      <c r="Q7" s="1">
        <f>COUNTIFS('Defect List'!C:C,'Job Planning'!G7,'Defect List'!B:B,"Outstanding",'Defect List'!G:G,"Minor")</f>
        <v>0</v>
      </c>
      <c r="R7" s="4" t="str" cm="1">
        <f t="array" ref="R7">_xlfn.TEXTJOIN("
",TRUE,_xlfn._xlws.FILTER('Outstanding Defect (PQ)'!G:G,'Outstanding Defect (PQ)'!B:B='Job Planning'!G7,""))</f>
        <v/>
      </c>
      <c r="S7" s="3">
        <v>46881</v>
      </c>
      <c r="T7" s="30" t="str">
        <f>_xlfn.TEXTAFTER(G7,"-",-2)</f>
        <v>MECH-8253</v>
      </c>
      <c r="U7" s="1" t="str">
        <f>IF(_xlfn.XLOOKUP('Job Planning'!$G7,Search!B:B,Search!C:C,"",0)="","",_xlfn.XLOOKUP('Job Planning'!$G7,Search!B:B,Search!C:C,"",0))</f>
        <v>Plan to complete next week</v>
      </c>
      <c r="V7" s="1" t="str">
        <f>_xlfn.XLOOKUP('Job Planning'!$T7,Search!A:A,Search!C:C,"",0)</f>
        <v>Plan to complete next week</v>
      </c>
      <c r="W7" s="1" t="str">
        <f>_xlfn.XLOOKUP('Job Planning'!$B7,Search!B:B,Search!C:C,"",0)</f>
        <v/>
      </c>
    </row>
    <row r="8" spans="1:23" ht="14.4">
      <c r="A8" s="1" t="s">
        <v>18</v>
      </c>
      <c r="B8" s="1" t="s">
        <v>146</v>
      </c>
      <c r="C8" s="1" t="s">
        <v>7</v>
      </c>
      <c r="D8" s="3" t="str">
        <f>IF(AND('Job Planning'!$L8="",'Job Planning'!$O8=0)=TRUE,"Can Close","Can't")</f>
        <v>Can't</v>
      </c>
      <c r="E8" s="3" t="str">
        <f>_xlfn.TEXTJOIN(", ",TRUE,IF(N8=0,"","Inspection"),IF('Job Planning'!$O8=0,"","Defect"))</f>
        <v>Defect</v>
      </c>
      <c r="F8" s="5"/>
      <c r="G8" s="4" t="s">
        <v>292</v>
      </c>
      <c r="H8" s="1" t="s">
        <v>8</v>
      </c>
      <c r="I8" s="1" t="s">
        <v>8</v>
      </c>
      <c r="J8" s="1" t="s">
        <v>8</v>
      </c>
      <c r="K8" s="1" t="s">
        <v>8</v>
      </c>
      <c r="L8" s="28" t="str">
        <f>_xlfn.TEXTJOIN(", ",TRUE,
IF(ISNUMBER(MATCH('Job Planning'!$H8,{"To Be Signed","Started","Awaiting RFI","Outstanding","RFI Scheduled"},0)),"Stage 1",""),
IF(ISNUMBER(MATCH('Job Planning'!$I8,{"To Be Signed","Started","Awaiting RFI","Outstanding","RFI Scheduled"},0)),"Stage 2",""),
IF(ISNUMBER(MATCH('Job Planning'!$J8,{"To Be Signed","Started","Awaiting RFI","Outstanding","RFI Scheduled"},0)),"Stage 3",""),
IF(ISNUMBER(MATCH('Job Planning'!$K8,{"To Be Signed","Started","Awaiting RFI","Outstanding","RFI Scheduled"},0)),"Stage 4",""))</f>
        <v/>
      </c>
      <c r="M8" s="1">
        <f>4-COUNTIF('Job Planning'!$H8:$K8,"N/A")-_xlfn.LET(_xlpm.pending,LEN('Job Planning'!$L8)-LEN(SUBSTITUTE('Job Planning'!$L8,",",""))+1,IF('Job Planning'!$L8="",0,_xlpm.pending))</f>
        <v>4</v>
      </c>
      <c r="N8" s="1">
        <f>_xlfn.LET(_xlpm.pending,LEN('Job Planning'!$L8)-LEN(SUBSTITUTE('Job Planning'!$L8,",",""))+1,IF('Job Planning'!$L8="",0,_xlpm.pending))</f>
        <v>0</v>
      </c>
      <c r="O8" s="1">
        <f>SUM('Job Planning'!$P8:$Q8)</f>
        <v>4</v>
      </c>
      <c r="P8" s="1">
        <f>COUNTIFS('Defect List'!C:C,'Job Planning'!G8,'Defect List'!B:B,"Outstanding",'Defect List'!G:G,"Major")</f>
        <v>0</v>
      </c>
      <c r="Q8" s="1">
        <f>COUNTIFS('Defect List'!C:C,'Job Planning'!G8,'Defect List'!B:B,"Outstanding",'Defect List'!G:G,"Minor")</f>
        <v>4</v>
      </c>
      <c r="R8" s="4" t="str" cm="1">
        <f t="array" ref="R8">_xlfn.TEXTJOIN("
",TRUE,_xlfn._xlws.FILTER('Outstanding Defect (PQ)'!G:G,'Outstanding Defect (PQ)'!B:B='Job Planning'!G8,""))</f>
        <v>No. 1) Worn out cable ties
No. 2) Paint Touch-Up Required
No. 3) Temporary Marking Missing
No. 4) Photo Evidence Missing</v>
      </c>
      <c r="S8" s="3">
        <v>46881</v>
      </c>
      <c r="T8" s="30" t="str">
        <f>_xlfn.TEXTAFTER(G8,"-",-2)</f>
        <v>CIV-8227</v>
      </c>
      <c r="U8" s="1" t="str">
        <f>IF(_xlfn.XLOOKUP('Job Planning'!$G8,Search!B:B,Search!C:C,"",0)="","",_xlfn.XLOOKUP('Job Planning'!$G8,Search!B:B,Search!C:C,"",0))</f>
        <v/>
      </c>
      <c r="V8" s="1" t="str">
        <f>_xlfn.XLOOKUP('Job Planning'!$T8,Search!A:A,Search!C:C,"",0)</f>
        <v>Clients have issued a new ticket</v>
      </c>
      <c r="W8" s="1" t="str">
        <f>_xlfn.XLOOKUP('Job Planning'!$B8,Search!B:B,Search!C:C,"",0)</f>
        <v/>
      </c>
    </row>
    <row r="9" spans="1:23" ht="14.4">
      <c r="A9" s="1" t="s">
        <v>18</v>
      </c>
      <c r="B9" s="1" t="s">
        <v>147</v>
      </c>
      <c r="C9" s="1" t="s">
        <v>7</v>
      </c>
      <c r="D9" s="3" t="str">
        <f>IF(AND('Job Planning'!$L9="",'Job Planning'!$O9=0)=TRUE,"Can Close","Can't")</f>
        <v>Can't</v>
      </c>
      <c r="E9" s="3" t="str">
        <f>_xlfn.TEXTJOIN(", ",TRUE,IF(N9=0,"","Inspection"),IF('Job Planning'!$O9=0,"","Defect"))</f>
        <v>Defect</v>
      </c>
      <c r="F9" s="5"/>
      <c r="G9" s="4" t="s">
        <v>300</v>
      </c>
      <c r="H9" s="1" t="s">
        <v>8</v>
      </c>
      <c r="I9" s="1" t="s">
        <v>8</v>
      </c>
      <c r="J9" s="1" t="s">
        <v>8</v>
      </c>
      <c r="K9" s="1" t="s">
        <v>8</v>
      </c>
      <c r="L9" s="28" t="str">
        <f>_xlfn.TEXTJOIN(", ",TRUE,
IF(ISNUMBER(MATCH('Job Planning'!$H9,{"To Be Signed","Started","Awaiting RFI","Outstanding","RFI Scheduled"},0)),"Stage 1",""),
IF(ISNUMBER(MATCH('Job Planning'!$I9,{"To Be Signed","Started","Awaiting RFI","Outstanding","RFI Scheduled"},0)),"Stage 2",""),
IF(ISNUMBER(MATCH('Job Planning'!$J9,{"To Be Signed","Started","Awaiting RFI","Outstanding","RFI Scheduled"},0)),"Stage 3",""),
IF(ISNUMBER(MATCH('Job Planning'!$K9,{"To Be Signed","Started","Awaiting RFI","Outstanding","RFI Scheduled"},0)),"Stage 4",""))</f>
        <v/>
      </c>
      <c r="M9" s="1">
        <f>4-COUNTIF('Job Planning'!$H9:$K9,"N/A")-_xlfn.LET(_xlpm.pending,LEN('Job Planning'!$L9)-LEN(SUBSTITUTE('Job Planning'!$L9,",",""))+1,IF('Job Planning'!$L9="",0,_xlpm.pending))</f>
        <v>4</v>
      </c>
      <c r="N9" s="1">
        <f>_xlfn.LET(_xlpm.pending,LEN('Job Planning'!$L9)-LEN(SUBSTITUTE('Job Planning'!$L9,",",""))+1,IF('Job Planning'!$L9="",0,_xlpm.pending))</f>
        <v>0</v>
      </c>
      <c r="O9" s="1">
        <f>SUM('Job Planning'!$P9:$Q9)</f>
        <v>2</v>
      </c>
      <c r="P9" s="1">
        <f>COUNTIFS('Defect List'!C:C,'Job Planning'!G9,'Defect List'!B:B,"Outstanding",'Defect List'!G:G,"Major")</f>
        <v>0</v>
      </c>
      <c r="Q9" s="1">
        <f>COUNTIFS('Defect List'!C:C,'Job Planning'!G9,'Defect List'!B:B,"Outstanding",'Defect List'!G:G,"Minor")</f>
        <v>2</v>
      </c>
      <c r="R9" s="4" t="str" cm="1">
        <f t="array" ref="R9">_xlfn.TEXTJOIN("
",TRUE,_xlfn._xlws.FILTER('Outstanding Defect (PQ)'!G:G,'Outstanding Defect (PQ)'!B:B='Job Planning'!G9,""))</f>
        <v>No. 1) Worn out cable ties
No. 2) Surface Rust Observed</v>
      </c>
      <c r="S9" s="3">
        <v>46756</v>
      </c>
      <c r="T9" s="30" t="str">
        <f>_xlfn.TEXTAFTER(G9,"-",-2)</f>
        <v>PLMB-8229</v>
      </c>
      <c r="U9" s="1" t="str">
        <f>IF(_xlfn.XLOOKUP('Job Planning'!$G9,Search!B:B,Search!C:C,"",0)="","",_xlfn.XLOOKUP('Job Planning'!$G9,Search!B:B,Search!C:C,"",0))</f>
        <v/>
      </c>
      <c r="V9" s="1" t="str">
        <f>_xlfn.XLOOKUP('Job Planning'!$T9,Search!A:A,Search!C:C,"",0)</f>
        <v/>
      </c>
      <c r="W9" s="1" t="str">
        <f>_xlfn.XLOOKUP('Job Planning'!$B9,Search!B:B,Search!C:C,"",0)</f>
        <v/>
      </c>
    </row>
    <row r="10" spans="1:23" ht="14.4">
      <c r="A10" s="1" t="s">
        <v>18</v>
      </c>
      <c r="B10" s="1" t="s">
        <v>148</v>
      </c>
      <c r="C10" s="1" t="s">
        <v>7</v>
      </c>
      <c r="D10" s="3" t="str">
        <f>IF(AND('Job Planning'!$L10="",'Job Planning'!$O10=0)=TRUE,"Can Close","Can't")</f>
        <v>Can't</v>
      </c>
      <c r="E10" s="3" t="str">
        <f>_xlfn.TEXTJOIN(", ",TRUE,IF(N10=0,"","Inspection"),IF('Job Planning'!$O10=0,"","Defect"))</f>
        <v>Inspection, Defect</v>
      </c>
      <c r="F10" s="5"/>
      <c r="G10" s="4" t="s">
        <v>279</v>
      </c>
      <c r="H10" s="1" t="s">
        <v>8</v>
      </c>
      <c r="I10" s="1" t="s">
        <v>8</v>
      </c>
      <c r="J10" s="1" t="s">
        <v>174</v>
      </c>
      <c r="K10" s="1" t="s">
        <v>173</v>
      </c>
      <c r="L10" s="28" t="str">
        <f>_xlfn.TEXTJOIN(", ",TRUE,
IF(ISNUMBER(MATCH('Job Planning'!$H10,{"To Be Signed","Started","Awaiting RFI","Outstanding","RFI Scheduled"},0)),"Stage 1",""),
IF(ISNUMBER(MATCH('Job Planning'!$I10,{"To Be Signed","Started","Awaiting RFI","Outstanding","RFI Scheduled"},0)),"Stage 2",""),
IF(ISNUMBER(MATCH('Job Planning'!$J10,{"To Be Signed","Started","Awaiting RFI","Outstanding","RFI Scheduled"},0)),"Stage 3",""),
IF(ISNUMBER(MATCH('Job Planning'!$K10,{"To Be Signed","Started","Awaiting RFI","Outstanding","RFI Scheduled"},0)),"Stage 4",""))</f>
        <v>Stage 4</v>
      </c>
      <c r="M10" s="1">
        <f>4-COUNTIF('Job Planning'!$H10:$K10,"N/A")-_xlfn.LET(_xlpm.pending,LEN('Job Planning'!$L10)-LEN(SUBSTITUTE('Job Planning'!$L10,",",""))+1,IF('Job Planning'!$L10="",0,_xlpm.pending))</f>
        <v>3</v>
      </c>
      <c r="N10" s="1">
        <f>_xlfn.LET(_xlpm.pending,LEN('Job Planning'!$L10)-LEN(SUBSTITUTE('Job Planning'!$L10,",",""))+1,IF('Job Planning'!$L10="",0,_xlpm.pending))</f>
        <v>1</v>
      </c>
      <c r="O10" s="1">
        <f>SUM('Job Planning'!$P10:$Q10)</f>
        <v>11</v>
      </c>
      <c r="P10" s="1">
        <f>COUNTIFS('Defect List'!C:C,'Job Planning'!G10,'Defect List'!B:B,"Outstanding",'Defect List'!G:G,"Major")</f>
        <v>4</v>
      </c>
      <c r="Q10" s="1">
        <f>COUNTIFS('Defect List'!C:C,'Job Planning'!G10,'Defect List'!B:B,"Outstanding",'Defect List'!G:G,"Minor")</f>
        <v>7</v>
      </c>
      <c r="R10" s="4" t="str" cm="1">
        <f t="array" ref="R10">_xlfn.TEXTJOIN("
",TRUE,_xlfn._xlws.FILTER('Outstanding Defect (PQ)'!G:G,'Outstanding Defect (PQ)'!B:B='Job Planning'!G10,""))</f>
        <v>No. 1) Electrical Safety Non-Compliance
No. 2) Fire Protection System Incomplete
No. 3) Mechanical System Malfunction
No. 4) Structural Integrity Issue
No. 5) Poor Cable Management
No. 6) Minor Leak Stain
No. 7) Supervisor Acknowledgement Pending
No. 8) Paint Touch-Up Required
No. 9) Photo Evidence Missing
No. 10) Worn out cable ties
No. 11) Temporary Marking Missing</v>
      </c>
      <c r="S10" s="3">
        <v>46756</v>
      </c>
      <c r="T10" s="30" t="str">
        <f>_xlfn.TEXTAFTER(G10,"-",-2)</f>
        <v>PLMB-8226</v>
      </c>
      <c r="U10" s="1" t="str">
        <f>IF(_xlfn.XLOOKUP('Job Planning'!$G10,Search!B:B,Search!C:C,"",0)="","",_xlfn.XLOOKUP('Job Planning'!$G10,Search!B:B,Search!C:C,"",0))</f>
        <v/>
      </c>
      <c r="V10" s="1" t="str">
        <f>_xlfn.XLOOKUP('Job Planning'!$T10,Search!A:A,Search!C:C,"",0)</f>
        <v/>
      </c>
      <c r="W10" s="1" t="str">
        <f>_xlfn.XLOOKUP('Job Planning'!$B10,Search!B:B,Search!C:C,"",0)</f>
        <v/>
      </c>
    </row>
    <row r="11" spans="1:23" ht="14.4">
      <c r="A11" s="1" t="s">
        <v>18</v>
      </c>
      <c r="B11" s="1" t="s">
        <v>238</v>
      </c>
      <c r="C11" s="1"/>
      <c r="D11" s="3" t="str">
        <f>IF(AND('Job Planning'!$L11="",'Job Planning'!$O11=0)=TRUE,"Can Close","Can't")</f>
        <v>Can't</v>
      </c>
      <c r="E11" s="3" t="str">
        <f>_xlfn.TEXTJOIN(", ",TRUE,IF(N11=0,"","Inspection"),IF('Job Planning'!$O11=0,"","Defect"))</f>
        <v>Defect</v>
      </c>
      <c r="F11" s="5" t="s">
        <v>205</v>
      </c>
      <c r="G11" s="4" t="s">
        <v>290</v>
      </c>
      <c r="H11" s="1" t="s">
        <v>8</v>
      </c>
      <c r="I11" s="1" t="s">
        <v>8</v>
      </c>
      <c r="J11" s="1" t="s">
        <v>8</v>
      </c>
      <c r="K11" s="1" t="s">
        <v>174</v>
      </c>
      <c r="L11" s="28" t="str">
        <f>_xlfn.TEXTJOIN(", ",TRUE,
IF(ISNUMBER(MATCH('Job Planning'!$H11,{"To Be Signed","Started","Awaiting RFI","Outstanding","RFI Scheduled"},0)),"Stage 1",""),
IF(ISNUMBER(MATCH('Job Planning'!$I11,{"To Be Signed","Started","Awaiting RFI","Outstanding","RFI Scheduled"},0)),"Stage 2",""),
IF(ISNUMBER(MATCH('Job Planning'!$J11,{"To Be Signed","Started","Awaiting RFI","Outstanding","RFI Scheduled"},0)),"Stage 3",""),
IF(ISNUMBER(MATCH('Job Planning'!$K11,{"To Be Signed","Started","Awaiting RFI","Outstanding","RFI Scheduled"},0)),"Stage 4",""))</f>
        <v/>
      </c>
      <c r="M11" s="1">
        <f>4-COUNTIF('Job Planning'!$H11:$K11,"N/A")-_xlfn.LET(_xlpm.pending,LEN('Job Planning'!$L11)-LEN(SUBSTITUTE('Job Planning'!$L11,",",""))+1,IF('Job Planning'!$L11="",0,_xlpm.pending))</f>
        <v>4</v>
      </c>
      <c r="N11" s="1">
        <f>_xlfn.LET(_xlpm.pending,LEN('Job Planning'!$L11)-LEN(SUBSTITUTE('Job Planning'!$L11,",",""))+1,IF('Job Planning'!$L11="",0,_xlpm.pending))</f>
        <v>0</v>
      </c>
      <c r="O11" s="1">
        <f>SUM('Job Planning'!$P11:$Q11)</f>
        <v>1</v>
      </c>
      <c r="P11" s="1">
        <f>COUNTIFS('Defect List'!C:C,'Job Planning'!G11,'Defect List'!B:B,"Outstanding",'Defect List'!G:G,"Major")</f>
        <v>0</v>
      </c>
      <c r="Q11" s="1">
        <f>COUNTIFS('Defect List'!C:C,'Job Planning'!G11,'Defect List'!B:B,"Outstanding",'Defect List'!G:G,"Minor")</f>
        <v>1</v>
      </c>
      <c r="R11" s="4" t="str" cm="1">
        <f t="array" ref="R11">_xlfn.TEXTJOIN("
",TRUE,_xlfn._xlws.FILTER('Outstanding Defect (PQ)'!G:G,'Outstanding Defect (PQ)'!B:B='Job Planning'!G11,""))</f>
        <v>No. 1) Worn out cable ties</v>
      </c>
      <c r="S11" s="3">
        <v>46881</v>
      </c>
      <c r="T11" s="30" t="str">
        <f>_xlfn.TEXTAFTER(G11,"-",-2)</f>
        <v>ELEC-8301</v>
      </c>
      <c r="U11" s="1" t="str">
        <f>IF(_xlfn.XLOOKUP('Job Planning'!$G11,Search!B:B,Search!C:C,"",0)="","",_xlfn.XLOOKUP('Job Planning'!$G11,Search!B:B,Search!C:C,"",0))</f>
        <v/>
      </c>
      <c r="V11" s="1" t="str">
        <f>_xlfn.XLOOKUP('Job Planning'!$T11,Search!A:A,Search!C:C,"",0)</f>
        <v/>
      </c>
      <c r="W11" s="1" t="str">
        <f>_xlfn.XLOOKUP('Job Planning'!$B11,Search!B:B,Search!C:C,"",0)</f>
        <v/>
      </c>
    </row>
    <row r="12" spans="1:23" ht="14.4">
      <c r="A12" s="1" t="s">
        <v>18</v>
      </c>
      <c r="B12" s="1" t="s">
        <v>238</v>
      </c>
      <c r="C12" s="1"/>
      <c r="D12" s="3" t="str">
        <f>IF(AND('Job Planning'!$L12="",'Job Planning'!$O12=0)=TRUE,"Can Close","Can't")</f>
        <v>Can't</v>
      </c>
      <c r="E12" s="3" t="str">
        <f>_xlfn.TEXTJOIN(", ",TRUE,IF(N12=0,"","Inspection"),IF('Job Planning'!$O12=0,"","Defect"))</f>
        <v>Inspection, Defect</v>
      </c>
      <c r="F12" s="5" t="s">
        <v>205</v>
      </c>
      <c r="G12" s="4" t="s">
        <v>289</v>
      </c>
      <c r="H12" s="1" t="s">
        <v>8</v>
      </c>
      <c r="I12" s="1" t="s">
        <v>8</v>
      </c>
      <c r="J12" s="1" t="s">
        <v>8</v>
      </c>
      <c r="K12" s="1" t="s">
        <v>5</v>
      </c>
      <c r="L12" s="28" t="str">
        <f>_xlfn.TEXTJOIN(", ",TRUE,
IF(ISNUMBER(MATCH('Job Planning'!$H12,{"To Be Signed","Started","Awaiting RFI","Outstanding","RFI Scheduled"},0)),"Stage 1",""),
IF(ISNUMBER(MATCH('Job Planning'!$I12,{"To Be Signed","Started","Awaiting RFI","Outstanding","RFI Scheduled"},0)),"Stage 2",""),
IF(ISNUMBER(MATCH('Job Planning'!$J12,{"To Be Signed","Started","Awaiting RFI","Outstanding","RFI Scheduled"},0)),"Stage 3",""),
IF(ISNUMBER(MATCH('Job Planning'!$K12,{"To Be Signed","Started","Awaiting RFI","Outstanding","RFI Scheduled"},0)),"Stage 4",""))</f>
        <v>Stage 4</v>
      </c>
      <c r="M12" s="1">
        <f>4-COUNTIF('Job Planning'!$H12:$K12,"N/A")-_xlfn.LET(_xlpm.pending,LEN('Job Planning'!$L12)-LEN(SUBSTITUTE('Job Planning'!$L12,",",""))+1,IF('Job Planning'!$L12="",0,_xlpm.pending))</f>
        <v>3</v>
      </c>
      <c r="N12" s="1">
        <f>_xlfn.LET(_xlpm.pending,LEN('Job Planning'!$L12)-LEN(SUBSTITUTE('Job Planning'!$L12,",",""))+1,IF('Job Planning'!$L12="",0,_xlpm.pending))</f>
        <v>1</v>
      </c>
      <c r="O12" s="1">
        <f>SUM('Job Planning'!$P12:$Q12)</f>
        <v>3</v>
      </c>
      <c r="P12" s="1">
        <f>COUNTIFS('Defect List'!C:C,'Job Planning'!G12,'Defect List'!B:B,"Outstanding",'Defect List'!G:G,"Major")</f>
        <v>3</v>
      </c>
      <c r="Q12" s="1">
        <f>COUNTIFS('Defect List'!C:C,'Job Planning'!G12,'Defect List'!B:B,"Outstanding",'Defect List'!G:G,"Minor")</f>
        <v>0</v>
      </c>
      <c r="R12" s="4" t="str" cm="1">
        <f t="array" ref="R12">_xlfn.TEXTJOIN("
",TRUE,_xlfn._xlws.FILTER('Outstanding Defect (PQ)'!G:G,'Outstanding Defect (PQ)'!B:B='Job Planning'!G12,""))</f>
        <v>No. 1) Electrical Safety Non-Compliance
No. 2) Fire Protection System Incomplete
No. 3) Mechanical System Malfunction</v>
      </c>
      <c r="S12" s="3">
        <v>46828</v>
      </c>
      <c r="T12" s="30" t="str">
        <f>_xlfn.TEXTAFTER(G12,"-",-2)</f>
        <v>ELEC-8208B</v>
      </c>
      <c r="U12" s="1" t="str">
        <f>IF(_xlfn.XLOOKUP('Job Planning'!$G12,Search!B:B,Search!C:C,"",0)="","",_xlfn.XLOOKUP('Job Planning'!$G12,Search!B:B,Search!C:C,"",0))</f>
        <v/>
      </c>
      <c r="V12" s="1" t="str">
        <f>_xlfn.XLOOKUP('Job Planning'!$T12,Search!A:A,Search!C:C,"",0)</f>
        <v/>
      </c>
      <c r="W12" s="1" t="str">
        <f>_xlfn.XLOOKUP('Job Planning'!$B12,Search!B:B,Search!C:C,"",0)</f>
        <v/>
      </c>
    </row>
    <row r="13" spans="1:23" ht="14.4">
      <c r="A13" s="1" t="s">
        <v>18</v>
      </c>
      <c r="B13" s="1" t="s">
        <v>238</v>
      </c>
      <c r="C13" s="1"/>
      <c r="D13" s="3" t="str">
        <f>IF(AND('Job Planning'!$L13="",'Job Planning'!$O13=0)=TRUE,"Can Close","Can't")</f>
        <v>Can't</v>
      </c>
      <c r="E13" s="3" t="str">
        <f>_xlfn.TEXTJOIN(", ",TRUE,IF(N13=0,"","Inspection"),IF('Job Planning'!$O13=0,"","Defect"))</f>
        <v>Inspection, Defect</v>
      </c>
      <c r="F13" s="5" t="s">
        <v>205</v>
      </c>
      <c r="G13" s="4" t="s">
        <v>287</v>
      </c>
      <c r="H13" s="1" t="s">
        <v>8</v>
      </c>
      <c r="I13" s="1" t="s">
        <v>8</v>
      </c>
      <c r="J13" s="1" t="s">
        <v>7</v>
      </c>
      <c r="K13" s="1" t="s">
        <v>173</v>
      </c>
      <c r="L13" s="28" t="str">
        <f>_xlfn.TEXTJOIN(", ",TRUE,
IF(ISNUMBER(MATCH('Job Planning'!$H13,{"To Be Signed","Started","Awaiting RFI","Outstanding","RFI Scheduled"},0)),"Stage 1",""),
IF(ISNUMBER(MATCH('Job Planning'!$I13,{"To Be Signed","Started","Awaiting RFI","Outstanding","RFI Scheduled"},0)),"Stage 2",""),
IF(ISNUMBER(MATCH('Job Planning'!$J13,{"To Be Signed","Started","Awaiting RFI","Outstanding","RFI Scheduled"},0)),"Stage 3",""),
IF(ISNUMBER(MATCH('Job Planning'!$K13,{"To Be Signed","Started","Awaiting RFI","Outstanding","RFI Scheduled"},0)),"Stage 4",""))</f>
        <v>Stage 3, Stage 4</v>
      </c>
      <c r="M13" s="1">
        <f>4-COUNTIF('Job Planning'!$H13:$K13,"N/A")-_xlfn.LET(_xlpm.pending,LEN('Job Planning'!$L13)-LEN(SUBSTITUTE('Job Planning'!$L13,",",""))+1,IF('Job Planning'!$L13="",0,_xlpm.pending))</f>
        <v>2</v>
      </c>
      <c r="N13" s="1">
        <f>_xlfn.LET(_xlpm.pending,LEN('Job Planning'!$L13)-LEN(SUBSTITUTE('Job Planning'!$L13,",",""))+1,IF('Job Planning'!$L13="",0,_xlpm.pending))</f>
        <v>2</v>
      </c>
      <c r="O13" s="1">
        <f>SUM('Job Planning'!$P13:$Q13)</f>
        <v>7</v>
      </c>
      <c r="P13" s="1">
        <f>COUNTIFS('Defect List'!C:C,'Job Planning'!G13,'Defect List'!B:B,"Outstanding",'Defect List'!G:G,"Major")</f>
        <v>2</v>
      </c>
      <c r="Q13" s="1">
        <f>COUNTIFS('Defect List'!C:C,'Job Planning'!G13,'Defect List'!B:B,"Outstanding",'Defect List'!G:G,"Minor")</f>
        <v>5</v>
      </c>
      <c r="R13" s="4" t="str" cm="1">
        <f t="array" ref="R13">_xlfn.TEXTJOIN("
",TRUE,_xlfn._xlws.FILTER('Outstanding Defect (PQ)'!G:G,'Outstanding Defect (PQ)'!B:B='Job Planning'!G13,""))</f>
        <v>No. 1) Structural Integrity Issue
No. 2) Regulatory Approval Pending
No. 3) Poor Cable Management
No. 4) Paint Touch-Up Required
No. 5) Worn out cable ties
No. 6) Minor Leak Stain
No. 7) Final Inspection Pending</v>
      </c>
      <c r="S13" s="3">
        <v>46828</v>
      </c>
      <c r="T13" s="30" t="str">
        <f>_xlfn.TEXTAFTER(G13,"-",-2)</f>
        <v>ELEC-8208A</v>
      </c>
      <c r="U13" s="1" t="str">
        <f>IF(_xlfn.XLOOKUP('Job Planning'!$G13,Search!B:B,Search!C:C,"",0)="","",_xlfn.XLOOKUP('Job Planning'!$G13,Search!B:B,Search!C:C,"",0))</f>
        <v/>
      </c>
      <c r="V13" s="1" t="str">
        <f>_xlfn.XLOOKUP('Job Planning'!$T13,Search!A:A,Search!C:C,"",0)</f>
        <v/>
      </c>
      <c r="W13" s="1" t="str">
        <f>_xlfn.XLOOKUP('Job Planning'!$B13,Search!B:B,Search!C:C,"",0)</f>
        <v/>
      </c>
    </row>
    <row r="14" spans="1:23" ht="14.4">
      <c r="A14" s="1" t="s">
        <v>18</v>
      </c>
      <c r="B14" s="1" t="s">
        <v>149</v>
      </c>
      <c r="C14" s="1" t="s">
        <v>7</v>
      </c>
      <c r="D14" s="3" t="str">
        <f>IF(AND('Job Planning'!$L14="",'Job Planning'!$O14=0)=TRUE,"Can Close","Can't")</f>
        <v>Can't</v>
      </c>
      <c r="E14" s="3" t="str">
        <f>_xlfn.TEXTJOIN(", ",TRUE,IF(N14=0,"","Inspection"),IF('Job Planning'!$O14=0,"","Defect"))</f>
        <v>Defect</v>
      </c>
      <c r="F14" s="5"/>
      <c r="G14" s="4" t="s">
        <v>288</v>
      </c>
      <c r="H14" s="1" t="s">
        <v>8</v>
      </c>
      <c r="I14" s="1" t="s">
        <v>8</v>
      </c>
      <c r="J14" s="1" t="s">
        <v>8</v>
      </c>
      <c r="K14" s="1" t="s">
        <v>12</v>
      </c>
      <c r="L14" s="28" t="str">
        <f>_xlfn.TEXTJOIN(", ",TRUE,
IF(ISNUMBER(MATCH('Job Planning'!$H14,{"To Be Signed","Started","Awaiting RFI","Outstanding","RFI Scheduled"},0)),"Stage 1",""),
IF(ISNUMBER(MATCH('Job Planning'!$I14,{"To Be Signed","Started","Awaiting RFI","Outstanding","RFI Scheduled"},0)),"Stage 2",""),
IF(ISNUMBER(MATCH('Job Planning'!$J14,{"To Be Signed","Started","Awaiting RFI","Outstanding","RFI Scheduled"},0)),"Stage 3",""),
IF(ISNUMBER(MATCH('Job Planning'!$K14,{"To Be Signed","Started","Awaiting RFI","Outstanding","RFI Scheduled"},0)),"Stage 4",""))</f>
        <v/>
      </c>
      <c r="M14" s="1">
        <f>4-COUNTIF('Job Planning'!$H14:$K14,"N/A")-_xlfn.LET(_xlpm.pending,LEN('Job Planning'!$L14)-LEN(SUBSTITUTE('Job Planning'!$L14,",",""))+1,IF('Job Planning'!$L14="",0,_xlpm.pending))</f>
        <v>4</v>
      </c>
      <c r="N14" s="1">
        <f>_xlfn.LET(_xlpm.pending,LEN('Job Planning'!$L14)-LEN(SUBSTITUTE('Job Planning'!$L14,",",""))+1,IF('Job Planning'!$L14="",0,_xlpm.pending))</f>
        <v>0</v>
      </c>
      <c r="O14" s="1">
        <f>SUM('Job Planning'!$P14:$Q14)</f>
        <v>3</v>
      </c>
      <c r="P14" s="1">
        <f>COUNTIFS('Defect List'!C:C,'Job Planning'!G14,'Defect List'!B:B,"Outstanding",'Defect List'!G:G,"Major")</f>
        <v>0</v>
      </c>
      <c r="Q14" s="1">
        <f>COUNTIFS('Defect List'!C:C,'Job Planning'!G14,'Defect List'!B:B,"Outstanding",'Defect List'!G:G,"Minor")</f>
        <v>3</v>
      </c>
      <c r="R14" s="4" t="str" cm="1">
        <f t="array" ref="R14">_xlfn.TEXTJOIN("
",TRUE,_xlfn._xlws.FILTER('Outstanding Defect (PQ)'!G:G,'Outstanding Defect (PQ)'!B:B='Job Planning'!G14,""))</f>
        <v>No. 1) Final Inspection Pending
No. 2) Minor Leak Stain
No. 3) Photo Evidence Missing</v>
      </c>
      <c r="S14" s="3">
        <v>46778</v>
      </c>
      <c r="T14" s="30" t="str">
        <f>_xlfn.TEXTAFTER(G14,"-",-2)</f>
        <v>FIRE-8242</v>
      </c>
      <c r="U14" s="1" t="str">
        <f>IF(_xlfn.XLOOKUP('Job Planning'!$G14,Search!B:B,Search!C:C,"",0)="","",_xlfn.XLOOKUP('Job Planning'!$G14,Search!B:B,Search!C:C,"",0))</f>
        <v/>
      </c>
      <c r="V14" s="1" t="str">
        <f>_xlfn.XLOOKUP('Job Planning'!$T14,Search!A:A,Search!C:C,"",0)</f>
        <v/>
      </c>
      <c r="W14" s="1" t="str">
        <f>_xlfn.XLOOKUP('Job Planning'!$B14,Search!B:B,Search!C:C,"",0)</f>
        <v/>
      </c>
    </row>
    <row r="15" spans="1:23" ht="14.4">
      <c r="A15" s="7" t="s">
        <v>18</v>
      </c>
      <c r="B15" s="7" t="s">
        <v>150</v>
      </c>
      <c r="C15" s="7" t="s">
        <v>8</v>
      </c>
      <c r="D15" s="6" t="str">
        <f>IF(AND('Job Planning'!$L15="",'Job Planning'!$O15=0)=TRUE,"Can Close","Can't")</f>
        <v>Can Close</v>
      </c>
      <c r="E15" s="6" t="str">
        <f>_xlfn.TEXTJOIN(", ",TRUE,IF(N15=0,"","Inspection"),IF('Job Planning'!$O15=0,"","Defect"))</f>
        <v/>
      </c>
      <c r="F15" s="21"/>
      <c r="G15" s="8" t="s">
        <v>310</v>
      </c>
      <c r="H15" s="7" t="s">
        <v>8</v>
      </c>
      <c r="I15" s="7" t="s">
        <v>8</v>
      </c>
      <c r="J15" s="7" t="s">
        <v>8</v>
      </c>
      <c r="K15" s="7" t="s">
        <v>8</v>
      </c>
      <c r="L15" s="19" t="str">
        <f>_xlfn.TEXTJOIN(", ",TRUE,
IF(ISNUMBER(MATCH('Job Planning'!$H15,{"To Be Signed","Started","Awaiting RFI","Outstanding","RFI Scheduled"},0)),"Stage 1",""),
IF(ISNUMBER(MATCH('Job Planning'!$I15,{"To Be Signed","Started","Awaiting RFI","Outstanding","RFI Scheduled"},0)),"Stage 2",""),
IF(ISNUMBER(MATCH('Job Planning'!$J15,{"To Be Signed","Started","Awaiting RFI","Outstanding","RFI Scheduled"},0)),"Stage 3",""),
IF(ISNUMBER(MATCH('Job Planning'!$K15,{"To Be Signed","Started","Awaiting RFI","Outstanding","RFI Scheduled"},0)),"Stage 4",""))</f>
        <v/>
      </c>
      <c r="M15" s="7">
        <f>4-COUNTIF('Job Planning'!$H15:$K15,"N/A")-_xlfn.LET(_xlpm.pending,LEN('Job Planning'!$L15)-LEN(SUBSTITUTE('Job Planning'!$L15,",",""))+1,IF('Job Planning'!$L15="",0,_xlpm.pending))</f>
        <v>4</v>
      </c>
      <c r="N15" s="7">
        <f>_xlfn.LET(_xlpm.pending,LEN('Job Planning'!$L15)-LEN(SUBSTITUTE('Job Planning'!$L15,",",""))+1,IF('Job Planning'!$L15="",0,_xlpm.pending))</f>
        <v>0</v>
      </c>
      <c r="O15" s="7">
        <f>SUM('Job Planning'!$P15:$Q15)</f>
        <v>0</v>
      </c>
      <c r="P15" s="7">
        <f>COUNTIFS('Defect List'!C:C,'Job Planning'!G15,'Defect List'!B:B,"Outstanding",'Defect List'!G:G,"Major")</f>
        <v>0</v>
      </c>
      <c r="Q15" s="7">
        <f>COUNTIFS('Defect List'!C:C,'Job Planning'!G15,'Defect List'!B:B,"Outstanding",'Defect List'!G:G,"Minor")</f>
        <v>0</v>
      </c>
      <c r="R15" s="8" t="str" cm="1">
        <f t="array" ref="R15">_xlfn.TEXTJOIN("
",TRUE,_xlfn._xlws.FILTER('Outstanding Defect (PQ)'!G:G,'Outstanding Defect (PQ)'!B:B='Job Planning'!G15,""))</f>
        <v/>
      </c>
      <c r="S15" s="3"/>
      <c r="T15" s="30" t="str">
        <f>_xlfn.TEXTAFTER(G15,"-",-2)</f>
        <v>CIV-8243</v>
      </c>
      <c r="U15" s="1" t="str">
        <f>IF(_xlfn.XLOOKUP('Job Planning'!$G15,Search!B:B,Search!C:C,"",0)="","",_xlfn.XLOOKUP('Job Planning'!$G15,Search!B:B,Search!C:C,"",0))</f>
        <v/>
      </c>
      <c r="V15" s="1" t="str">
        <f>_xlfn.XLOOKUP('Job Planning'!$T15,Search!A:A,Search!C:C,"",0)</f>
        <v/>
      </c>
      <c r="W15" s="1" t="str">
        <f>_xlfn.XLOOKUP('Job Planning'!$B15,Search!B:B,Search!C:C,"",0)</f>
        <v/>
      </c>
    </row>
    <row r="16" spans="1:23" ht="14.4">
      <c r="A16" s="7" t="s">
        <v>13</v>
      </c>
      <c r="B16" s="7" t="s">
        <v>52</v>
      </c>
      <c r="C16" s="7" t="s">
        <v>8</v>
      </c>
      <c r="D16" s="6" t="str">
        <f>IF(AND('Job Planning'!$L16="",'Job Planning'!$O16=0)=TRUE,"Can Close","Can't")</f>
        <v>Can Close</v>
      </c>
      <c r="E16" s="6" t="str">
        <f>_xlfn.TEXTJOIN(", ",TRUE,IF(N16=0,"","Inspection"),IF('Job Planning'!$O16=0,"","Defect"))</f>
        <v/>
      </c>
      <c r="F16" s="21"/>
      <c r="G16" s="8" t="s">
        <v>311</v>
      </c>
      <c r="H16" s="7" t="s">
        <v>8</v>
      </c>
      <c r="I16" s="7" t="s">
        <v>8</v>
      </c>
      <c r="J16" s="7" t="s">
        <v>8</v>
      </c>
      <c r="K16" s="7" t="s">
        <v>8</v>
      </c>
      <c r="L16" s="19" t="str">
        <f>_xlfn.TEXTJOIN(", ",TRUE,
IF(ISNUMBER(MATCH('Job Planning'!$H16,{"To Be Signed","Started","Awaiting RFI","Outstanding","RFI Scheduled"},0)),"Stage 1",""),
IF(ISNUMBER(MATCH('Job Planning'!$I16,{"To Be Signed","Started","Awaiting RFI","Outstanding","RFI Scheduled"},0)),"Stage 2",""),
IF(ISNUMBER(MATCH('Job Planning'!$J16,{"To Be Signed","Started","Awaiting RFI","Outstanding","RFI Scheduled"},0)),"Stage 3",""),
IF(ISNUMBER(MATCH('Job Planning'!$K16,{"To Be Signed","Started","Awaiting RFI","Outstanding","RFI Scheduled"},0)),"Stage 4",""))</f>
        <v/>
      </c>
      <c r="M16" s="7">
        <f>4-COUNTIF('Job Planning'!$H16:$K16,"N/A")-_xlfn.LET(_xlpm.pending,LEN('Job Planning'!$L16)-LEN(SUBSTITUTE('Job Planning'!$L16,",",""))+1,IF('Job Planning'!$L16="",0,_xlpm.pending))</f>
        <v>4</v>
      </c>
      <c r="N16" s="7">
        <f>_xlfn.LET(_xlpm.pending,LEN('Job Planning'!$L16)-LEN(SUBSTITUTE('Job Planning'!$L16,",",""))+1,IF('Job Planning'!$L16="",0,_xlpm.pending))</f>
        <v>0</v>
      </c>
      <c r="O16" s="7">
        <f>SUM('Job Planning'!$P16:$Q16)</f>
        <v>0</v>
      </c>
      <c r="P16" s="7">
        <f>COUNTIFS('Defect List'!C:C,'Job Planning'!G16,'Defect List'!B:B,"Outstanding",'Defect List'!G:G,"Major")</f>
        <v>0</v>
      </c>
      <c r="Q16" s="7">
        <f>COUNTIFS('Defect List'!C:C,'Job Planning'!G16,'Defect List'!B:B,"Outstanding",'Defect List'!G:G,"Minor")</f>
        <v>0</v>
      </c>
      <c r="R16" s="8" t="str" cm="1">
        <f t="array" ref="R16">_xlfn.TEXTJOIN("
",TRUE,_xlfn._xlws.FILTER('Outstanding Defect (PQ)'!G:G,'Outstanding Defect (PQ)'!B:B='Job Planning'!G16,""))</f>
        <v/>
      </c>
      <c r="S16" s="3"/>
      <c r="T16" s="30" t="str">
        <f>_xlfn.TEXTAFTER(G16,"-",-2)</f>
        <v>CIV-8238</v>
      </c>
      <c r="U16" s="1" t="str">
        <f>IF(_xlfn.XLOOKUP('Job Planning'!$G16,Search!B:B,Search!C:C,"",0)="","",_xlfn.XLOOKUP('Job Planning'!$G16,Search!B:B,Search!C:C,"",0))</f>
        <v/>
      </c>
      <c r="V16" s="1" t="str">
        <f>_xlfn.XLOOKUP('Job Planning'!$T16,Search!A:A,Search!C:C,"",0)</f>
        <v/>
      </c>
      <c r="W16" s="1" t="str">
        <f>_xlfn.XLOOKUP('Job Planning'!$B16,Search!B:B,Search!C:C,"",0)</f>
        <v/>
      </c>
    </row>
    <row r="17" spans="1:23" ht="14.4">
      <c r="A17" s="7" t="s">
        <v>13</v>
      </c>
      <c r="B17" s="7" t="s">
        <v>53</v>
      </c>
      <c r="C17" s="7" t="s">
        <v>8</v>
      </c>
      <c r="D17" s="6" t="str">
        <f>IF(AND('Job Planning'!$L17="",'Job Planning'!$O17=0)=TRUE,"Can Close","Can't")</f>
        <v>Can Close</v>
      </c>
      <c r="E17" s="6" t="str">
        <f>_xlfn.TEXTJOIN(", ",TRUE,IF(N17=0,"","Inspection"),IF('Job Planning'!$O17=0,"","Defect"))</f>
        <v/>
      </c>
      <c r="F17" s="21"/>
      <c r="G17" s="8" t="s">
        <v>312</v>
      </c>
      <c r="H17" s="7" t="s">
        <v>8</v>
      </c>
      <c r="I17" s="7" t="s">
        <v>8</v>
      </c>
      <c r="J17" s="7" t="s">
        <v>8</v>
      </c>
      <c r="K17" s="7" t="s">
        <v>8</v>
      </c>
      <c r="L17" s="19" t="str">
        <f>_xlfn.TEXTJOIN(", ",TRUE,
IF(ISNUMBER(MATCH('Job Planning'!$H17,{"To Be Signed","Started","Awaiting RFI","Outstanding","RFI Scheduled"},0)),"Stage 1",""),
IF(ISNUMBER(MATCH('Job Planning'!$I17,{"To Be Signed","Started","Awaiting RFI","Outstanding","RFI Scheduled"},0)),"Stage 2",""),
IF(ISNUMBER(MATCH('Job Planning'!$J17,{"To Be Signed","Started","Awaiting RFI","Outstanding","RFI Scheduled"},0)),"Stage 3",""),
IF(ISNUMBER(MATCH('Job Planning'!$K17,{"To Be Signed","Started","Awaiting RFI","Outstanding","RFI Scheduled"},0)),"Stage 4",""))</f>
        <v/>
      </c>
      <c r="M17" s="7">
        <f>4-COUNTIF('Job Planning'!$H17:$K17,"N/A")-_xlfn.LET(_xlpm.pending,LEN('Job Planning'!$L17)-LEN(SUBSTITUTE('Job Planning'!$L17,",",""))+1,IF('Job Planning'!$L17="",0,_xlpm.pending))</f>
        <v>4</v>
      </c>
      <c r="N17" s="7">
        <f>_xlfn.LET(_xlpm.pending,LEN('Job Planning'!$L17)-LEN(SUBSTITUTE('Job Planning'!$L17,",",""))+1,IF('Job Planning'!$L17="",0,_xlpm.pending))</f>
        <v>0</v>
      </c>
      <c r="O17" s="7">
        <f>SUM('Job Planning'!$P17:$Q17)</f>
        <v>0</v>
      </c>
      <c r="P17" s="7">
        <f>COUNTIFS('Defect List'!C:C,'Job Planning'!G17,'Defect List'!B:B,"Outstanding",'Defect List'!G:G,"Major")</f>
        <v>0</v>
      </c>
      <c r="Q17" s="7">
        <f>COUNTIFS('Defect List'!C:C,'Job Planning'!G17,'Defect List'!B:B,"Outstanding",'Defect List'!G:G,"Minor")</f>
        <v>0</v>
      </c>
      <c r="R17" s="8" t="str" cm="1">
        <f t="array" ref="R17">_xlfn.TEXTJOIN("
",TRUE,_xlfn._xlws.FILTER('Outstanding Defect (PQ)'!G:G,'Outstanding Defect (PQ)'!B:B='Job Planning'!G17,""))</f>
        <v/>
      </c>
      <c r="S17" s="3"/>
      <c r="T17" s="30" t="str">
        <f>_xlfn.TEXTAFTER(G17,"-",-2)</f>
        <v>PLMB-8203</v>
      </c>
      <c r="U17" s="1" t="str">
        <f>IF(_xlfn.XLOOKUP('Job Planning'!$G17,Search!B:B,Search!C:C,"",0)="","",_xlfn.XLOOKUP('Job Planning'!$G17,Search!B:B,Search!C:C,"",0))</f>
        <v/>
      </c>
      <c r="V17" s="1" t="str">
        <f>_xlfn.XLOOKUP('Job Planning'!$T17,Search!A:A,Search!C:C,"",0)</f>
        <v/>
      </c>
      <c r="W17" s="1" t="str">
        <f>_xlfn.XLOOKUP('Job Planning'!$B17,Search!B:B,Search!C:C,"",0)</f>
        <v/>
      </c>
    </row>
    <row r="18" spans="1:23" ht="14.4">
      <c r="A18" s="7" t="s">
        <v>13</v>
      </c>
      <c r="B18" s="7" t="s">
        <v>54</v>
      </c>
      <c r="C18" s="7" t="s">
        <v>8</v>
      </c>
      <c r="D18" s="6" t="str">
        <f>IF(AND('Job Planning'!$L18="",'Job Planning'!$O18=0)=TRUE,"Can Close","Can't")</f>
        <v>Can Close</v>
      </c>
      <c r="E18" s="6" t="str">
        <f>_xlfn.TEXTJOIN(", ",TRUE,IF(N18=0,"","Inspection"),IF('Job Planning'!$O18=0,"","Defect"))</f>
        <v/>
      </c>
      <c r="F18" s="21"/>
      <c r="G18" s="8" t="s">
        <v>313</v>
      </c>
      <c r="H18" s="7" t="s">
        <v>8</v>
      </c>
      <c r="I18" s="7" t="s">
        <v>8</v>
      </c>
      <c r="J18" s="7" t="s">
        <v>8</v>
      </c>
      <c r="K18" s="7" t="s">
        <v>8</v>
      </c>
      <c r="L18" s="19" t="str">
        <f>_xlfn.TEXTJOIN(", ",TRUE,
IF(ISNUMBER(MATCH('Job Planning'!$H18,{"To Be Signed","Started","Awaiting RFI","Outstanding","RFI Scheduled"},0)),"Stage 1",""),
IF(ISNUMBER(MATCH('Job Planning'!$I18,{"To Be Signed","Started","Awaiting RFI","Outstanding","RFI Scheduled"},0)),"Stage 2",""),
IF(ISNUMBER(MATCH('Job Planning'!$J18,{"To Be Signed","Started","Awaiting RFI","Outstanding","RFI Scheduled"},0)),"Stage 3",""),
IF(ISNUMBER(MATCH('Job Planning'!$K18,{"To Be Signed","Started","Awaiting RFI","Outstanding","RFI Scheduled"},0)),"Stage 4",""))</f>
        <v/>
      </c>
      <c r="M18" s="7">
        <f>4-COUNTIF('Job Planning'!$H18:$K18,"N/A")-_xlfn.LET(_xlpm.pending,LEN('Job Planning'!$L18)-LEN(SUBSTITUTE('Job Planning'!$L18,",",""))+1,IF('Job Planning'!$L18="",0,_xlpm.pending))</f>
        <v>4</v>
      </c>
      <c r="N18" s="7">
        <f>_xlfn.LET(_xlpm.pending,LEN('Job Planning'!$L18)-LEN(SUBSTITUTE('Job Planning'!$L18,",",""))+1,IF('Job Planning'!$L18="",0,_xlpm.pending))</f>
        <v>0</v>
      </c>
      <c r="O18" s="7">
        <f>SUM('Job Planning'!$P18:$Q18)</f>
        <v>0</v>
      </c>
      <c r="P18" s="7">
        <f>COUNTIFS('Defect List'!C:C,'Job Planning'!G18,'Defect List'!B:B,"Outstanding",'Defect List'!G:G,"Major")</f>
        <v>0</v>
      </c>
      <c r="Q18" s="7">
        <f>COUNTIFS('Defect List'!C:C,'Job Planning'!G18,'Defect List'!B:B,"Outstanding",'Defect List'!G:G,"Minor")</f>
        <v>0</v>
      </c>
      <c r="R18" s="8" t="str" cm="1">
        <f t="array" ref="R18">_xlfn.TEXTJOIN("
",TRUE,_xlfn._xlws.FILTER('Outstanding Defect (PQ)'!G:G,'Outstanding Defect (PQ)'!B:B='Job Planning'!G18,""))</f>
        <v/>
      </c>
      <c r="S18" s="3"/>
      <c r="T18" s="30" t="str">
        <f>_xlfn.TEXTAFTER(G18,"-",-2)</f>
        <v>ELEC-8280</v>
      </c>
      <c r="U18" s="1" t="str">
        <f>IF(_xlfn.XLOOKUP('Job Planning'!$G18,Search!B:B,Search!C:C,"",0)="","",_xlfn.XLOOKUP('Job Planning'!$G18,Search!B:B,Search!C:C,"",0))</f>
        <v/>
      </c>
      <c r="V18" s="1" t="str">
        <f>_xlfn.XLOOKUP('Job Planning'!$T18,Search!A:A,Search!C:C,"",0)</f>
        <v/>
      </c>
      <c r="W18" s="1" t="str">
        <f>_xlfn.XLOOKUP('Job Planning'!$B18,Search!B:B,Search!C:C,"",0)</f>
        <v/>
      </c>
    </row>
    <row r="19" spans="1:23" ht="14.4">
      <c r="A19" s="1" t="s">
        <v>13</v>
      </c>
      <c r="B19" s="1" t="s">
        <v>55</v>
      </c>
      <c r="C19" s="1" t="s">
        <v>7</v>
      </c>
      <c r="D19" s="3" t="str">
        <f>IF(AND('Job Planning'!$L19="",'Job Planning'!$O19=0)=TRUE,"Can Close","Can't")</f>
        <v>Can't</v>
      </c>
      <c r="E19" s="3" t="str">
        <f>_xlfn.TEXTJOIN(", ",TRUE,IF(N19=0,"","Inspection"),IF('Job Planning'!$O19=0,"","Defect"))</f>
        <v>Inspection, Defect</v>
      </c>
      <c r="F19" s="5"/>
      <c r="G19" s="4" t="s">
        <v>285</v>
      </c>
      <c r="H19" s="1" t="s">
        <v>8</v>
      </c>
      <c r="I19" s="1" t="s">
        <v>8</v>
      </c>
      <c r="J19" s="1" t="s">
        <v>175</v>
      </c>
      <c r="K19" s="1" t="s">
        <v>173</v>
      </c>
      <c r="L19" s="28" t="str">
        <f>_xlfn.TEXTJOIN(", ",TRUE,
IF(ISNUMBER(MATCH('Job Planning'!$H19,{"To Be Signed","Started","Awaiting RFI","Outstanding","RFI Scheduled"},0)),"Stage 1",""),
IF(ISNUMBER(MATCH('Job Planning'!$I19,{"To Be Signed","Started","Awaiting RFI","Outstanding","RFI Scheduled"},0)),"Stage 2",""),
IF(ISNUMBER(MATCH('Job Planning'!$J19,{"To Be Signed","Started","Awaiting RFI","Outstanding","RFI Scheduled"},0)),"Stage 3",""),
IF(ISNUMBER(MATCH('Job Planning'!$K19,{"To Be Signed","Started","Awaiting RFI","Outstanding","RFI Scheduled"},0)),"Stage 4",""))</f>
        <v>Stage 4</v>
      </c>
      <c r="M19" s="1">
        <f>4-COUNTIF('Job Planning'!$H19:$K19,"N/A")-_xlfn.LET(_xlpm.pending,LEN('Job Planning'!$L19)-LEN(SUBSTITUTE('Job Planning'!$L19,",",""))+1,IF('Job Planning'!$L19="",0,_xlpm.pending))</f>
        <v>3</v>
      </c>
      <c r="N19" s="1">
        <f>_xlfn.LET(_xlpm.pending,LEN('Job Planning'!$L19)-LEN(SUBSTITUTE('Job Planning'!$L19,",",""))+1,IF('Job Planning'!$L19="",0,_xlpm.pending))</f>
        <v>1</v>
      </c>
      <c r="O19" s="1">
        <f>SUM('Job Planning'!$P19:$Q19)</f>
        <v>1</v>
      </c>
      <c r="P19" s="1">
        <f>COUNTIFS('Defect List'!C:C,'Job Planning'!G19,'Defect List'!B:B,"Outstanding",'Defect List'!G:G,"Major")</f>
        <v>1</v>
      </c>
      <c r="Q19" s="1">
        <f>COUNTIFS('Defect List'!C:C,'Job Planning'!G19,'Defect List'!B:B,"Outstanding",'Defect List'!G:G,"Minor")</f>
        <v>0</v>
      </c>
      <c r="R19" s="4" t="str" cm="1">
        <f t="array" ref="R19">_xlfn.TEXTJOIN("
",TRUE,_xlfn._xlws.FILTER('Outstanding Defect (PQ)'!G:G,'Outstanding Defect (PQ)'!B:B='Job Planning'!G19,""))</f>
        <v>No. 1) Mechanical System Malfunction</v>
      </c>
      <c r="S19" s="3">
        <v>46750</v>
      </c>
      <c r="T19" s="30" t="str">
        <f>_xlfn.TEXTAFTER(G19,"-",-2)</f>
        <v>HVAC-8286</v>
      </c>
      <c r="U19" s="1" t="str">
        <f>IF(_xlfn.XLOOKUP('Job Planning'!$G19,Search!B:B,Search!C:C,"",0)="","",_xlfn.XLOOKUP('Job Planning'!$G19,Search!B:B,Search!C:C,"",0))</f>
        <v/>
      </c>
      <c r="V19" s="1" t="str">
        <f>_xlfn.XLOOKUP('Job Planning'!$T19,Search!A:A,Search!C:C,"",0)</f>
        <v/>
      </c>
      <c r="W19" s="1" t="str">
        <f>_xlfn.XLOOKUP('Job Planning'!$B19,Search!B:B,Search!C:C,"",0)</f>
        <v/>
      </c>
    </row>
    <row r="20" spans="1:23" ht="14.4">
      <c r="A20" s="1" t="s">
        <v>13</v>
      </c>
      <c r="B20" s="1" t="s">
        <v>56</v>
      </c>
      <c r="C20" s="1" t="s">
        <v>7</v>
      </c>
      <c r="D20" s="3" t="str">
        <f>IF(AND('Job Planning'!$L20="",'Job Planning'!$O20=0)=TRUE,"Can Close","Can't")</f>
        <v>Can't</v>
      </c>
      <c r="E20" s="3" t="str">
        <f>_xlfn.TEXTJOIN(", ",TRUE,IF(N20=0,"","Inspection"),IF('Job Planning'!$O20=0,"","Defect"))</f>
        <v>Defect</v>
      </c>
      <c r="F20" s="4"/>
      <c r="G20" s="4" t="s">
        <v>283</v>
      </c>
      <c r="H20" s="1" t="s">
        <v>8</v>
      </c>
      <c r="I20" s="1" t="s">
        <v>8</v>
      </c>
      <c r="J20" s="1" t="s">
        <v>8</v>
      </c>
      <c r="K20" s="1" t="s">
        <v>8</v>
      </c>
      <c r="L20" s="28" t="str">
        <f>_xlfn.TEXTJOIN(", ",TRUE,
IF(ISNUMBER(MATCH('Job Planning'!$H20,{"To Be Signed","Started","Awaiting RFI","Outstanding","RFI Scheduled"},0)),"Stage 1",""),
IF(ISNUMBER(MATCH('Job Planning'!$I20,{"To Be Signed","Started","Awaiting RFI","Outstanding","RFI Scheduled"},0)),"Stage 2",""),
IF(ISNUMBER(MATCH('Job Planning'!$J20,{"To Be Signed","Started","Awaiting RFI","Outstanding","RFI Scheduled"},0)),"Stage 3",""),
IF(ISNUMBER(MATCH('Job Planning'!$K20,{"To Be Signed","Started","Awaiting RFI","Outstanding","RFI Scheduled"},0)),"Stage 4",""))</f>
        <v/>
      </c>
      <c r="M20" s="1">
        <f>4-COUNTIF('Job Planning'!$H20:$K20,"N/A")-_xlfn.LET(_xlpm.pending,LEN('Job Planning'!$L20)-LEN(SUBSTITUTE('Job Planning'!$L20,",",""))+1,IF('Job Planning'!$L20="",0,_xlpm.pending))</f>
        <v>4</v>
      </c>
      <c r="N20" s="1">
        <f>_xlfn.LET(_xlpm.pending,LEN('Job Planning'!$L20)-LEN(SUBSTITUTE('Job Planning'!$L20,",",""))+1,IF('Job Planning'!$L20="",0,_xlpm.pending))</f>
        <v>0</v>
      </c>
      <c r="O20" s="1">
        <f>SUM('Job Planning'!$P20:$Q20)</f>
        <v>2</v>
      </c>
      <c r="P20" s="1">
        <f>COUNTIFS('Defect List'!C:C,'Job Planning'!G20,'Defect List'!B:B,"Outstanding",'Defect List'!G:G,"Major")</f>
        <v>0</v>
      </c>
      <c r="Q20" s="1">
        <f>COUNTIFS('Defect List'!C:C,'Job Planning'!G20,'Defect List'!B:B,"Outstanding",'Defect List'!G:G,"Minor")</f>
        <v>2</v>
      </c>
      <c r="R20" s="4" t="str" cm="1">
        <f t="array" ref="R20">_xlfn.TEXTJOIN("
",TRUE,_xlfn._xlws.FILTER('Outstanding Defect (PQ)'!G:G,'Outstanding Defect (PQ)'!B:B='Job Planning'!G20,""))</f>
        <v>No. 1) Missing Equipment Label
No. 2) Incorrect Asset Tag</v>
      </c>
      <c r="S20" s="3">
        <v>46750</v>
      </c>
      <c r="T20" s="30" t="str">
        <f>_xlfn.TEXTAFTER(G20,"-",-2)</f>
        <v>HVAC-8285</v>
      </c>
      <c r="U20" s="1" t="str">
        <f>IF(_xlfn.XLOOKUP('Job Planning'!$G20,Search!B:B,Search!C:C,"",0)="","",_xlfn.XLOOKUP('Job Planning'!$G20,Search!B:B,Search!C:C,"",0))</f>
        <v/>
      </c>
      <c r="V20" s="1" t="str">
        <f>_xlfn.XLOOKUP('Job Planning'!$T20,Search!A:A,Search!C:C,"",0)</f>
        <v/>
      </c>
      <c r="W20" s="1" t="str">
        <f>_xlfn.XLOOKUP('Job Planning'!$B20,Search!B:B,Search!C:C,"",0)</f>
        <v/>
      </c>
    </row>
    <row r="21" spans="1:23" ht="14.4">
      <c r="A21" s="1" t="s">
        <v>13</v>
      </c>
      <c r="B21" s="1" t="s">
        <v>57</v>
      </c>
      <c r="C21" s="1" t="s">
        <v>7</v>
      </c>
      <c r="D21" s="3" t="str">
        <f>IF(AND('Job Planning'!$L21="",'Job Planning'!$O21=0)=TRUE,"Can Close","Can't")</f>
        <v>Can't</v>
      </c>
      <c r="E21" s="3" t="str">
        <f>_xlfn.TEXTJOIN(", ",TRUE,IF(N21=0,"","Inspection"),IF('Job Planning'!$O21=0,"","Defect"))</f>
        <v>Inspection, Defect</v>
      </c>
      <c r="F21" s="5"/>
      <c r="G21" s="4" t="s">
        <v>273</v>
      </c>
      <c r="H21" s="1" t="s">
        <v>10</v>
      </c>
      <c r="I21" s="1" t="s">
        <v>173</v>
      </c>
      <c r="J21" s="1" t="s">
        <v>7</v>
      </c>
      <c r="K21" s="1" t="s">
        <v>5</v>
      </c>
      <c r="L21" s="28" t="str">
        <f>_xlfn.TEXTJOIN(", ",TRUE,
IF(ISNUMBER(MATCH('Job Planning'!$H21,{"To Be Signed","Started","Awaiting RFI","Outstanding","RFI Scheduled"},0)),"Stage 1",""),
IF(ISNUMBER(MATCH('Job Planning'!$I21,{"To Be Signed","Started","Awaiting RFI","Outstanding","RFI Scheduled"},0)),"Stage 2",""),
IF(ISNUMBER(MATCH('Job Planning'!$J21,{"To Be Signed","Started","Awaiting RFI","Outstanding","RFI Scheduled"},0)),"Stage 3",""),
IF(ISNUMBER(MATCH('Job Planning'!$K21,{"To Be Signed","Started","Awaiting RFI","Outstanding","RFI Scheduled"},0)),"Stage 4",""))</f>
        <v>Stage 1, Stage 2, Stage 3, Stage 4</v>
      </c>
      <c r="M21" s="1">
        <f>4-COUNTIF('Job Planning'!$H21:$K21,"N/A")-_xlfn.LET(_xlpm.pending,LEN('Job Planning'!$L21)-LEN(SUBSTITUTE('Job Planning'!$L21,",",""))+1,IF('Job Planning'!$L21="",0,_xlpm.pending))</f>
        <v>0</v>
      </c>
      <c r="N21" s="1">
        <f>_xlfn.LET(_xlpm.pending,LEN('Job Planning'!$L21)-LEN(SUBSTITUTE('Job Planning'!$L21,",",""))+1,IF('Job Planning'!$L21="",0,_xlpm.pending))</f>
        <v>4</v>
      </c>
      <c r="O21" s="1">
        <f>SUM('Job Planning'!$P21:$Q21)</f>
        <v>5</v>
      </c>
      <c r="P21" s="1">
        <f>COUNTIFS('Defect List'!C:C,'Job Planning'!G21,'Defect List'!B:B,"Outstanding",'Defect List'!G:G,"Major")</f>
        <v>3</v>
      </c>
      <c r="Q21" s="1">
        <f>COUNTIFS('Defect List'!C:C,'Job Planning'!G21,'Defect List'!B:B,"Outstanding",'Defect List'!G:G,"Minor")</f>
        <v>2</v>
      </c>
      <c r="R21" s="1" t="str" cm="1">
        <f t="array" ref="R21">_xlfn.TEXTJOIN("
",TRUE,_xlfn._xlws.FILTER('Outstanding Defect (PQ)'!G:G,'Outstanding Defect (PQ)'!B:B='Job Planning'!G21,""))</f>
        <v>No. 1) Fire Protection System Incomplete
No. 2) Electrical Safety Non-Compliance
No. 3) Mechanical System Malfunction
No. 4) Supervisor Acknowledgement Pending
No. 5) Photo Evidence Missing</v>
      </c>
      <c r="S21" s="3">
        <v>46881</v>
      </c>
      <c r="T21" s="30" t="str">
        <f>_xlfn.TEXTAFTER(G21,"-",-2)</f>
        <v>HVAC-8281A</v>
      </c>
      <c r="U21" s="1" t="str">
        <f>IF(_xlfn.XLOOKUP('Job Planning'!$G21,Search!B:B,Search!C:C,"",0)="","",_xlfn.XLOOKUP('Job Planning'!$G21,Search!B:B,Search!C:C,"",0))</f>
        <v/>
      </c>
      <c r="V21" s="1" t="str">
        <f>_xlfn.XLOOKUP('Job Planning'!$T21,Search!A:A,Search!C:C,"",0)</f>
        <v/>
      </c>
      <c r="W21" s="1" t="str">
        <f>_xlfn.XLOOKUP('Job Planning'!$B21,Search!B:B,Search!C:C,"",0)</f>
        <v/>
      </c>
    </row>
    <row r="22" spans="1:23" ht="14.4">
      <c r="A22" s="1" t="s">
        <v>13</v>
      </c>
      <c r="B22" s="1" t="s">
        <v>58</v>
      </c>
      <c r="C22" s="1" t="s">
        <v>7</v>
      </c>
      <c r="D22" s="3" t="str">
        <f>IF(AND('Job Planning'!$L22="",'Job Planning'!$O22=0)=TRUE,"Can Close","Can't")</f>
        <v>Can't</v>
      </c>
      <c r="E22" s="3" t="str">
        <f>_xlfn.TEXTJOIN(", ",TRUE,IF(N22=0,"","Inspection"),IF('Job Planning'!$O22=0,"","Defect"))</f>
        <v>Inspection, Defect</v>
      </c>
      <c r="F22" s="5"/>
      <c r="G22" s="4" t="s">
        <v>275</v>
      </c>
      <c r="H22" s="1" t="s">
        <v>5</v>
      </c>
      <c r="I22" s="1" t="s">
        <v>7</v>
      </c>
      <c r="J22" s="1" t="s">
        <v>7</v>
      </c>
      <c r="K22" s="1" t="s">
        <v>7</v>
      </c>
      <c r="L22" s="28" t="str">
        <f>_xlfn.TEXTJOIN(", ",TRUE,
IF(ISNUMBER(MATCH('Job Planning'!$H22,{"To Be Signed","Started","Awaiting RFI","Outstanding","RFI Scheduled"},0)),"Stage 1",""),
IF(ISNUMBER(MATCH('Job Planning'!$I22,{"To Be Signed","Started","Awaiting RFI","Outstanding","RFI Scheduled"},0)),"Stage 2",""),
IF(ISNUMBER(MATCH('Job Planning'!$J22,{"To Be Signed","Started","Awaiting RFI","Outstanding","RFI Scheduled"},0)),"Stage 3",""),
IF(ISNUMBER(MATCH('Job Planning'!$K22,{"To Be Signed","Started","Awaiting RFI","Outstanding","RFI Scheduled"},0)),"Stage 4",""))</f>
        <v>Stage 1, Stage 2, Stage 3, Stage 4</v>
      </c>
      <c r="M22" s="1">
        <f>4-COUNTIF('Job Planning'!$H22:$K22,"N/A")-_xlfn.LET(_xlpm.pending,LEN('Job Planning'!$L22)-LEN(SUBSTITUTE('Job Planning'!$L22,",",""))+1,IF('Job Planning'!$L22="",0,_xlpm.pending))</f>
        <v>0</v>
      </c>
      <c r="N22" s="1">
        <f>_xlfn.LET(_xlpm.pending,LEN('Job Planning'!$L22)-LEN(SUBSTITUTE('Job Planning'!$L22,",",""))+1,IF('Job Planning'!$L22="",0,_xlpm.pending))</f>
        <v>4</v>
      </c>
      <c r="O22" s="1">
        <f>SUM('Job Planning'!$P22:$Q22)</f>
        <v>11</v>
      </c>
      <c r="P22" s="1">
        <f>COUNTIFS('Defect List'!C:C,'Job Planning'!G22,'Defect List'!B:B,"Outstanding",'Defect List'!G:G,"Major")</f>
        <v>5</v>
      </c>
      <c r="Q22" s="1">
        <f>COUNTIFS('Defect List'!C:C,'Job Planning'!G22,'Defect List'!B:B,"Outstanding",'Defect List'!G:G,"Minor")</f>
        <v>6</v>
      </c>
      <c r="R22" s="4" t="str" cm="1">
        <f t="array" ref="R22">_xlfn.TEXTJOIN("
",TRUE,_xlfn._xlws.FILTER('Outstanding Defect (PQ)'!G:G,'Outstanding Defect (PQ)'!B:B='Job Planning'!G22,""))</f>
        <v>No. 1) Structural Integrity Issue
No. 2) Fire Protection System Incomplete
No. 3) Electrical Safety Non-Compliance
No. 4) Mechanical System Malfunction
No. 5) Regulatory Approval Pending
No. 6) Checklist Not Signed
No. 7) Calibration Record Pending
No. 8) Missing Equipment Label
No. 9) Photo Evidence Missing
No. 10) Final Inspection Pending
No. 11) Missing physical receipt of purchase</v>
      </c>
      <c r="S22" s="3">
        <v>46750</v>
      </c>
      <c r="T22" s="30" t="str">
        <f>_xlfn.TEXTAFTER(G22,"-",-2)</f>
        <v>HVAC-8281B</v>
      </c>
      <c r="U22" s="1" t="str">
        <f>IF(_xlfn.XLOOKUP('Job Planning'!$G22,Search!B:B,Search!C:C,"",0)="","",_xlfn.XLOOKUP('Job Planning'!$G22,Search!B:B,Search!C:C,"",0))</f>
        <v/>
      </c>
      <c r="V22" s="1" t="str">
        <f>_xlfn.XLOOKUP('Job Planning'!$T22,Search!A:A,Search!C:C,"",0)</f>
        <v/>
      </c>
      <c r="W22" s="1" t="str">
        <f>_xlfn.XLOOKUP('Job Planning'!$B22,Search!B:B,Search!C:C,"",0)</f>
        <v/>
      </c>
    </row>
    <row r="23" spans="1:23" ht="14.4">
      <c r="A23" s="1" t="s">
        <v>13</v>
      </c>
      <c r="B23" s="1" t="s">
        <v>59</v>
      </c>
      <c r="C23" s="1" t="s">
        <v>7</v>
      </c>
      <c r="D23" s="3" t="str">
        <f>IF(AND('Job Planning'!$L23="",'Job Planning'!$O23=0)=TRUE,"Can Close","Can't")</f>
        <v>Can't</v>
      </c>
      <c r="E23" s="3" t="str">
        <f>_xlfn.TEXTJOIN(", ",TRUE,IF(N23=0,"","Inspection"),IF('Job Planning'!$O23=0,"","Defect"))</f>
        <v>Inspection, Defect</v>
      </c>
      <c r="F23" s="5"/>
      <c r="G23" s="4" t="s">
        <v>276</v>
      </c>
      <c r="H23" s="1" t="s">
        <v>8</v>
      </c>
      <c r="I23" s="1" t="s">
        <v>12</v>
      </c>
      <c r="J23" s="1" t="s">
        <v>5</v>
      </c>
      <c r="K23" s="1" t="s">
        <v>7</v>
      </c>
      <c r="L23" s="28" t="str">
        <f>_xlfn.TEXTJOIN(", ",TRUE,
IF(ISNUMBER(MATCH('Job Planning'!$H23,{"To Be Signed","Started","Awaiting RFI","Outstanding","RFI Scheduled"},0)),"Stage 1",""),
IF(ISNUMBER(MATCH('Job Planning'!$I23,{"To Be Signed","Started","Awaiting RFI","Outstanding","RFI Scheduled"},0)),"Stage 2",""),
IF(ISNUMBER(MATCH('Job Planning'!$J23,{"To Be Signed","Started","Awaiting RFI","Outstanding","RFI Scheduled"},0)),"Stage 3",""),
IF(ISNUMBER(MATCH('Job Planning'!$K23,{"To Be Signed","Started","Awaiting RFI","Outstanding","RFI Scheduled"},0)),"Stage 4",""))</f>
        <v>Stage 3, Stage 4</v>
      </c>
      <c r="M23" s="1">
        <f>4-COUNTIF('Job Planning'!$H23:$K23,"N/A")-_xlfn.LET(_xlpm.pending,LEN('Job Planning'!$L23)-LEN(SUBSTITUTE('Job Planning'!$L23,",",""))+1,IF('Job Planning'!$L23="",0,_xlpm.pending))</f>
        <v>2</v>
      </c>
      <c r="N23" s="1">
        <f>_xlfn.LET(_xlpm.pending,LEN('Job Planning'!$L23)-LEN(SUBSTITUTE('Job Planning'!$L23,",",""))+1,IF('Job Planning'!$L23="",0,_xlpm.pending))</f>
        <v>2</v>
      </c>
      <c r="O23" s="1">
        <f>SUM('Job Planning'!$P23:$Q23)</f>
        <v>8</v>
      </c>
      <c r="P23" s="1">
        <f>COUNTIFS('Defect List'!C:C,'Job Planning'!G23,'Defect List'!B:B,"Outstanding",'Defect List'!G:G,"Major")</f>
        <v>2</v>
      </c>
      <c r="Q23" s="1">
        <f>COUNTIFS('Defect List'!C:C,'Job Planning'!G23,'Defect List'!B:B,"Outstanding",'Defect List'!G:G,"Minor")</f>
        <v>6</v>
      </c>
      <c r="R23" s="4" t="str" cm="1">
        <f t="array" ref="R23">_xlfn.TEXTJOIN("
",TRUE,_xlfn._xlws.FILTER('Outstanding Defect (PQ)'!G:G,'Outstanding Defect (PQ)'!B:B='Job Planning'!G23,""))</f>
        <v>No. 1) Mechanical System Malfunction
No. 2) Electrical Safety Non-Compliance
No. 3) Missing physical receipt of purchase
No. 4) Checklist Not Signed
No. 5) Supervisor Acknowledgement Pending
No. 6) Photo Evidence Missing
No. 7) Incomplete Maintenance Record
No. 8) Incorrect Asset Tag</v>
      </c>
      <c r="S23" s="3">
        <v>46750</v>
      </c>
      <c r="T23" s="30" t="str">
        <f>_xlfn.TEXTAFTER(G23,"-",-2)</f>
        <v>HVAC-8236</v>
      </c>
      <c r="U23" s="1" t="str">
        <f>IF(_xlfn.XLOOKUP('Job Planning'!$G23,Search!B:B,Search!C:C,"",0)="","",_xlfn.XLOOKUP('Job Planning'!$G23,Search!B:B,Search!C:C,"",0))</f>
        <v/>
      </c>
      <c r="V23" s="1" t="str">
        <f>_xlfn.XLOOKUP('Job Planning'!$T23,Search!A:A,Search!C:C,"",0)</f>
        <v/>
      </c>
      <c r="W23" s="1" t="str">
        <f>_xlfn.XLOOKUP('Job Planning'!$B23,Search!B:B,Search!C:C,"",0)</f>
        <v/>
      </c>
    </row>
    <row r="24" spans="1:23" ht="14.4">
      <c r="A24" s="7" t="s">
        <v>13</v>
      </c>
      <c r="B24" s="7" t="s">
        <v>60</v>
      </c>
      <c r="C24" s="7" t="s">
        <v>8</v>
      </c>
      <c r="D24" s="6" t="str">
        <f>IF(AND('Job Planning'!$L24="",'Job Planning'!$O24=0)=TRUE,"Can Close","Can't")</f>
        <v>Can Close</v>
      </c>
      <c r="E24" s="6" t="str">
        <f>_xlfn.TEXTJOIN(", ",TRUE,IF(N24=0,"","Inspection"),IF('Job Planning'!$O24=0,"","Defect"))</f>
        <v/>
      </c>
      <c r="F24" s="21"/>
      <c r="G24" s="8" t="s">
        <v>314</v>
      </c>
      <c r="H24" s="7" t="s">
        <v>8</v>
      </c>
      <c r="I24" s="7" t="s">
        <v>8</v>
      </c>
      <c r="J24" s="7" t="s">
        <v>8</v>
      </c>
      <c r="K24" s="7" t="s">
        <v>8</v>
      </c>
      <c r="L24" s="19" t="str">
        <f>_xlfn.TEXTJOIN(", ",TRUE,
IF(ISNUMBER(MATCH('Job Planning'!$H24,{"To Be Signed","Started","Awaiting RFI","Outstanding","RFI Scheduled"},0)),"Stage 1",""),
IF(ISNUMBER(MATCH('Job Planning'!$I24,{"To Be Signed","Started","Awaiting RFI","Outstanding","RFI Scheduled"},0)),"Stage 2",""),
IF(ISNUMBER(MATCH('Job Planning'!$J24,{"To Be Signed","Started","Awaiting RFI","Outstanding","RFI Scheduled"},0)),"Stage 3",""),
IF(ISNUMBER(MATCH('Job Planning'!$K24,{"To Be Signed","Started","Awaiting RFI","Outstanding","RFI Scheduled"},0)),"Stage 4",""))</f>
        <v/>
      </c>
      <c r="M24" s="7">
        <f>4-COUNTIF('Job Planning'!$H24:$K24,"N/A")-_xlfn.LET(_xlpm.pending,LEN('Job Planning'!$L24)-LEN(SUBSTITUTE('Job Planning'!$L24,",",""))+1,IF('Job Planning'!$L24="",0,_xlpm.pending))</f>
        <v>4</v>
      </c>
      <c r="N24" s="7">
        <f>_xlfn.LET(_xlpm.pending,LEN('Job Planning'!$L24)-LEN(SUBSTITUTE('Job Planning'!$L24,",",""))+1,IF('Job Planning'!$L24="",0,_xlpm.pending))</f>
        <v>0</v>
      </c>
      <c r="O24" s="7">
        <f>SUM('Job Planning'!$P24:$Q24)</f>
        <v>0</v>
      </c>
      <c r="P24" s="7">
        <f>COUNTIFS('Defect List'!C:C,'Job Planning'!G24,'Defect List'!B:B,"Outstanding",'Defect List'!G:G,"Major")</f>
        <v>0</v>
      </c>
      <c r="Q24" s="7">
        <f>COUNTIFS('Defect List'!C:C,'Job Planning'!G24,'Defect List'!B:B,"Outstanding",'Defect List'!G:G,"Minor")</f>
        <v>0</v>
      </c>
      <c r="R24" s="8" t="str" cm="1">
        <f t="array" ref="R24">_xlfn.TEXTJOIN("
",TRUE,_xlfn._xlws.FILTER('Outstanding Defect (PQ)'!G:G,'Outstanding Defect (PQ)'!B:B='Job Planning'!G24,""))</f>
        <v/>
      </c>
      <c r="S24" s="3"/>
      <c r="T24" s="30" t="str">
        <f>_xlfn.TEXTAFTER(G24,"-",-2)</f>
        <v>HVAC-8232</v>
      </c>
      <c r="U24" s="1" t="str">
        <f>IF(_xlfn.XLOOKUP('Job Planning'!$G24,Search!B:B,Search!C:C,"",0)="","",_xlfn.XLOOKUP('Job Planning'!$G24,Search!B:B,Search!C:C,"",0))</f>
        <v/>
      </c>
      <c r="V24" s="1" t="str">
        <f>_xlfn.XLOOKUP('Job Planning'!$T24,Search!A:A,Search!C:C,"",0)</f>
        <v/>
      </c>
      <c r="W24" s="1" t="str">
        <f>_xlfn.XLOOKUP('Job Planning'!$B24,Search!B:B,Search!C:C,"",0)</f>
        <v/>
      </c>
    </row>
    <row r="25" spans="1:23" ht="14.4">
      <c r="A25" s="1" t="s">
        <v>13</v>
      </c>
      <c r="B25" s="1" t="s">
        <v>61</v>
      </c>
      <c r="C25" s="1" t="s">
        <v>7</v>
      </c>
      <c r="D25" s="3" t="str">
        <f>IF(AND('Job Planning'!$L25="",'Job Planning'!$O25=0)=TRUE,"Can Close","Can't")</f>
        <v>Can't</v>
      </c>
      <c r="E25" s="3" t="str">
        <f>_xlfn.TEXTJOIN(", ",TRUE,IF(N25=0,"","Inspection"),IF('Job Planning'!$O25=0,"","Defect"))</f>
        <v>Inspection, Defect</v>
      </c>
      <c r="F25" s="5"/>
      <c r="G25" s="4" t="s">
        <v>277</v>
      </c>
      <c r="H25" s="1" t="s">
        <v>8</v>
      </c>
      <c r="I25" s="1" t="s">
        <v>174</v>
      </c>
      <c r="J25" s="1" t="s">
        <v>5</v>
      </c>
      <c r="K25" s="1" t="s">
        <v>7</v>
      </c>
      <c r="L25" s="28" t="str">
        <f>_xlfn.TEXTJOIN(", ",TRUE,
IF(ISNUMBER(MATCH('Job Planning'!$H25,{"To Be Signed","Started","Awaiting RFI","Outstanding","RFI Scheduled"},0)),"Stage 1",""),
IF(ISNUMBER(MATCH('Job Planning'!$I25,{"To Be Signed","Started","Awaiting RFI","Outstanding","RFI Scheduled"},0)),"Stage 2",""),
IF(ISNUMBER(MATCH('Job Planning'!$J25,{"To Be Signed","Started","Awaiting RFI","Outstanding","RFI Scheduled"},0)),"Stage 3",""),
IF(ISNUMBER(MATCH('Job Planning'!$K25,{"To Be Signed","Started","Awaiting RFI","Outstanding","RFI Scheduled"},0)),"Stage 4",""))</f>
        <v>Stage 3, Stage 4</v>
      </c>
      <c r="M25" s="1">
        <f>4-COUNTIF('Job Planning'!$H25:$K25,"N/A")-_xlfn.LET(_xlpm.pending,LEN('Job Planning'!$L25)-LEN(SUBSTITUTE('Job Planning'!$L25,",",""))+1,IF('Job Planning'!$L25="",0,_xlpm.pending))</f>
        <v>2</v>
      </c>
      <c r="N25" s="1">
        <f>_xlfn.LET(_xlpm.pending,LEN('Job Planning'!$L25)-LEN(SUBSTITUTE('Job Planning'!$L25,",",""))+1,IF('Job Planning'!$L25="",0,_xlpm.pending))</f>
        <v>2</v>
      </c>
      <c r="O25" s="1">
        <f>SUM('Job Planning'!$P25:$Q25)</f>
        <v>7</v>
      </c>
      <c r="P25" s="1">
        <f>COUNTIFS('Defect List'!C:C,'Job Planning'!G25,'Defect List'!B:B,"Outstanding",'Defect List'!G:G,"Major")</f>
        <v>1</v>
      </c>
      <c r="Q25" s="1">
        <f>COUNTIFS('Defect List'!C:C,'Job Planning'!G25,'Defect List'!B:B,"Outstanding",'Defect List'!G:G,"Minor")</f>
        <v>6</v>
      </c>
      <c r="R25" s="4" t="str" cm="1">
        <f t="array" ref="R25">_xlfn.TEXTJOIN("
",TRUE,_xlfn._xlws.FILTER('Outstanding Defect (PQ)'!G:G,'Outstanding Defect (PQ)'!B:B='Job Planning'!G25,""))</f>
        <v>No. 1) Structural Integrity Issue
No. 2) Missing physical receipt of purchase
No. 3) Photo Evidence Missing
No. 4) Checklist Not Signed
No. 5) Supervisor Acknowledgement Pending
No. 6) Calibration Record Pending
No. 7) Missing Equipment Label</v>
      </c>
      <c r="S25" s="3">
        <v>46750</v>
      </c>
      <c r="T25" s="30" t="str">
        <f>_xlfn.TEXTAFTER(G25,"-",-2)</f>
        <v>HVAC-8228</v>
      </c>
      <c r="U25" s="1" t="str">
        <f>IF(_xlfn.XLOOKUP('Job Planning'!$G25,Search!B:B,Search!C:C,"",0)="","",_xlfn.XLOOKUP('Job Planning'!$G25,Search!B:B,Search!C:C,"",0))</f>
        <v/>
      </c>
      <c r="V25" s="1" t="str">
        <f>_xlfn.XLOOKUP('Job Planning'!$T25,Search!A:A,Search!C:C,"",0)</f>
        <v/>
      </c>
      <c r="W25" s="1" t="str">
        <f>_xlfn.XLOOKUP('Job Planning'!$B25,Search!B:B,Search!C:C,"",0)</f>
        <v/>
      </c>
    </row>
    <row r="26" spans="1:23" ht="14.4">
      <c r="A26" s="7" t="s">
        <v>13</v>
      </c>
      <c r="B26" s="7" t="s">
        <v>62</v>
      </c>
      <c r="C26" s="7" t="s">
        <v>8</v>
      </c>
      <c r="D26" s="6" t="str">
        <f>IF(AND('Job Planning'!$L26="",'Job Planning'!$O26=0)=TRUE,"Can Close","Can't")</f>
        <v>Can Close</v>
      </c>
      <c r="E26" s="6" t="str">
        <f>_xlfn.TEXTJOIN(", ",TRUE,IF(N26=0,"","Inspection"),IF('Job Planning'!$O26=0,"","Defect"))</f>
        <v/>
      </c>
      <c r="F26" s="21"/>
      <c r="G26" s="8" t="s">
        <v>315</v>
      </c>
      <c r="H26" s="7" t="s">
        <v>8</v>
      </c>
      <c r="I26" s="7" t="s">
        <v>8</v>
      </c>
      <c r="J26" s="7" t="s">
        <v>8</v>
      </c>
      <c r="K26" s="7" t="s">
        <v>8</v>
      </c>
      <c r="L26" s="19" t="str">
        <f>_xlfn.TEXTJOIN(", ",TRUE,
IF(ISNUMBER(MATCH('Job Planning'!$H26,{"To Be Signed","Started","Awaiting RFI","Outstanding","RFI Scheduled"},0)),"Stage 1",""),
IF(ISNUMBER(MATCH('Job Planning'!$I26,{"To Be Signed","Started","Awaiting RFI","Outstanding","RFI Scheduled"},0)),"Stage 2",""),
IF(ISNUMBER(MATCH('Job Planning'!$J26,{"To Be Signed","Started","Awaiting RFI","Outstanding","RFI Scheduled"},0)),"Stage 3",""),
IF(ISNUMBER(MATCH('Job Planning'!$K26,{"To Be Signed","Started","Awaiting RFI","Outstanding","RFI Scheduled"},0)),"Stage 4",""))</f>
        <v/>
      </c>
      <c r="M26" s="7">
        <f>4-COUNTIF('Job Planning'!$H26:$K26,"N/A")-_xlfn.LET(_xlpm.pending,LEN('Job Planning'!$L26)-LEN(SUBSTITUTE('Job Planning'!$L26,",",""))+1,IF('Job Planning'!$L26="",0,_xlpm.pending))</f>
        <v>4</v>
      </c>
      <c r="N26" s="7">
        <f>_xlfn.LET(_xlpm.pending,LEN('Job Planning'!$L26)-LEN(SUBSTITUTE('Job Planning'!$L26,",",""))+1,IF('Job Planning'!$L26="",0,_xlpm.pending))</f>
        <v>0</v>
      </c>
      <c r="O26" s="7">
        <f>SUM('Job Planning'!$P26:$Q26)</f>
        <v>0</v>
      </c>
      <c r="P26" s="7">
        <f>COUNTIFS('Defect List'!C:C,'Job Planning'!G26,'Defect List'!B:B,"Outstanding",'Defect List'!G:G,"Major")</f>
        <v>0</v>
      </c>
      <c r="Q26" s="7">
        <f>COUNTIFS('Defect List'!C:C,'Job Planning'!G26,'Defect List'!B:B,"Outstanding",'Defect List'!G:G,"Minor")</f>
        <v>0</v>
      </c>
      <c r="R26" s="8" t="str" cm="1">
        <f t="array" ref="R26">_xlfn.TEXTJOIN("
",TRUE,_xlfn._xlws.FILTER('Outstanding Defect (PQ)'!G:G,'Outstanding Defect (PQ)'!B:B='Job Planning'!G26,""))</f>
        <v/>
      </c>
      <c r="S26" s="3"/>
      <c r="T26" s="30" t="str">
        <f>_xlfn.TEXTAFTER(G26,"-",-2)</f>
        <v>HVAC-8235</v>
      </c>
      <c r="U26" s="1" t="str">
        <f>IF(_xlfn.XLOOKUP('Job Planning'!$G26,Search!B:B,Search!C:C,"",0)="","",_xlfn.XLOOKUP('Job Planning'!$G26,Search!B:B,Search!C:C,"",0))</f>
        <v/>
      </c>
      <c r="V26" s="1" t="str">
        <f>_xlfn.XLOOKUP('Job Planning'!$T26,Search!A:A,Search!C:C,"",0)</f>
        <v/>
      </c>
      <c r="W26" s="1" t="str">
        <f>_xlfn.XLOOKUP('Job Planning'!$B26,Search!B:B,Search!C:C,"",0)</f>
        <v/>
      </c>
    </row>
    <row r="27" spans="1:23" ht="14.4">
      <c r="A27" s="7" t="s">
        <v>13</v>
      </c>
      <c r="B27" s="7" t="s">
        <v>63</v>
      </c>
      <c r="C27" s="7" t="s">
        <v>8</v>
      </c>
      <c r="D27" s="6" t="str">
        <f>IF(AND('Job Planning'!$L27="",'Job Planning'!$O27=0)=TRUE,"Can Close","Can't")</f>
        <v>Can Close</v>
      </c>
      <c r="E27" s="6" t="str">
        <f>_xlfn.TEXTJOIN(", ",TRUE,IF(N27=0,"","Inspection"),IF('Job Planning'!$O27=0,"","Defect"))</f>
        <v/>
      </c>
      <c r="F27" s="21"/>
      <c r="G27" s="8" t="s">
        <v>316</v>
      </c>
      <c r="H27" s="7" t="s">
        <v>8</v>
      </c>
      <c r="I27" s="7" t="s">
        <v>8</v>
      </c>
      <c r="J27" s="7" t="s">
        <v>8</v>
      </c>
      <c r="K27" s="7" t="s">
        <v>8</v>
      </c>
      <c r="L27" s="19" t="str">
        <f>_xlfn.TEXTJOIN(", ",TRUE,
IF(ISNUMBER(MATCH('Job Planning'!$H27,{"To Be Signed","Started","Awaiting RFI","Outstanding","RFI Scheduled"},0)),"Stage 1",""),
IF(ISNUMBER(MATCH('Job Planning'!$I27,{"To Be Signed","Started","Awaiting RFI","Outstanding","RFI Scheduled"},0)),"Stage 2",""),
IF(ISNUMBER(MATCH('Job Planning'!$J27,{"To Be Signed","Started","Awaiting RFI","Outstanding","RFI Scheduled"},0)),"Stage 3",""),
IF(ISNUMBER(MATCH('Job Planning'!$K27,{"To Be Signed","Started","Awaiting RFI","Outstanding","RFI Scheduled"},0)),"Stage 4",""))</f>
        <v/>
      </c>
      <c r="M27" s="7">
        <f>4-COUNTIF('Job Planning'!$H27:$K27,"N/A")-_xlfn.LET(_xlpm.pending,LEN('Job Planning'!$L27)-LEN(SUBSTITUTE('Job Planning'!$L27,",",""))+1,IF('Job Planning'!$L27="",0,_xlpm.pending))</f>
        <v>4</v>
      </c>
      <c r="N27" s="7">
        <f>_xlfn.LET(_xlpm.pending,LEN('Job Planning'!$L27)-LEN(SUBSTITUTE('Job Planning'!$L27,",",""))+1,IF('Job Planning'!$L27="",0,_xlpm.pending))</f>
        <v>0</v>
      </c>
      <c r="O27" s="7">
        <f>SUM('Job Planning'!$P27:$Q27)</f>
        <v>0</v>
      </c>
      <c r="P27" s="7">
        <f>COUNTIFS('Defect List'!C:C,'Job Planning'!G27,'Defect List'!B:B,"Outstanding",'Defect List'!G:G,"Major")</f>
        <v>0</v>
      </c>
      <c r="Q27" s="7">
        <f>COUNTIFS('Defect List'!C:C,'Job Planning'!G27,'Defect List'!B:B,"Outstanding",'Defect List'!G:G,"Minor")</f>
        <v>0</v>
      </c>
      <c r="R27" s="8" t="str" cm="1">
        <f t="array" ref="R27">_xlfn.TEXTJOIN("
",TRUE,_xlfn._xlws.FILTER('Outstanding Defect (PQ)'!G:G,'Outstanding Defect (PQ)'!B:B='Job Planning'!G27,""))</f>
        <v/>
      </c>
      <c r="S27" s="3"/>
      <c r="T27" s="30" t="str">
        <f>_xlfn.TEXTAFTER(G27,"-",-2)</f>
        <v>ELEC-8219</v>
      </c>
      <c r="U27" s="1" t="str">
        <f>IF(_xlfn.XLOOKUP('Job Planning'!$G27,Search!B:B,Search!C:C,"",0)="","",_xlfn.XLOOKUP('Job Planning'!$G27,Search!B:B,Search!C:C,"",0))</f>
        <v/>
      </c>
      <c r="V27" s="1" t="str">
        <f>_xlfn.XLOOKUP('Job Planning'!$T27,Search!A:A,Search!C:C,"",0)</f>
        <v/>
      </c>
      <c r="W27" s="1" t="str">
        <f>_xlfn.XLOOKUP('Job Planning'!$B27,Search!B:B,Search!C:C,"",0)</f>
        <v/>
      </c>
    </row>
    <row r="28" spans="1:23" ht="14.4">
      <c r="A28" s="7" t="s">
        <v>13</v>
      </c>
      <c r="B28" s="7" t="s">
        <v>64</v>
      </c>
      <c r="C28" s="7" t="s">
        <v>8</v>
      </c>
      <c r="D28" s="6" t="str">
        <f>IF(AND('Job Planning'!$L28="",'Job Planning'!$O28=0)=TRUE,"Can Close","Can't")</f>
        <v>Can Close</v>
      </c>
      <c r="E28" s="6" t="str">
        <f>_xlfn.TEXTJOIN(", ",TRUE,IF(N28=0,"","Inspection"),IF('Job Planning'!$O28=0,"","Defect"))</f>
        <v/>
      </c>
      <c r="F28" s="21"/>
      <c r="G28" s="8" t="s">
        <v>317</v>
      </c>
      <c r="H28" s="7" t="s">
        <v>8</v>
      </c>
      <c r="I28" s="7" t="s">
        <v>8</v>
      </c>
      <c r="J28" s="7" t="s">
        <v>8</v>
      </c>
      <c r="K28" s="7" t="s">
        <v>8</v>
      </c>
      <c r="L28" s="19" t="str">
        <f>_xlfn.TEXTJOIN(", ",TRUE,
IF(ISNUMBER(MATCH('Job Planning'!$H28,{"To Be Signed","Started","Awaiting RFI","Outstanding","RFI Scheduled"},0)),"Stage 1",""),
IF(ISNUMBER(MATCH('Job Planning'!$I28,{"To Be Signed","Started","Awaiting RFI","Outstanding","RFI Scheduled"},0)),"Stage 2",""),
IF(ISNUMBER(MATCH('Job Planning'!$J28,{"To Be Signed","Started","Awaiting RFI","Outstanding","RFI Scheduled"},0)),"Stage 3",""),
IF(ISNUMBER(MATCH('Job Planning'!$K28,{"To Be Signed","Started","Awaiting RFI","Outstanding","RFI Scheduled"},0)),"Stage 4",""))</f>
        <v/>
      </c>
      <c r="M28" s="7">
        <f>4-COUNTIF('Job Planning'!$H28:$K28,"N/A")-_xlfn.LET(_xlpm.pending,LEN('Job Planning'!$L28)-LEN(SUBSTITUTE('Job Planning'!$L28,",",""))+1,IF('Job Planning'!$L28="",0,_xlpm.pending))</f>
        <v>4</v>
      </c>
      <c r="N28" s="7">
        <f>_xlfn.LET(_xlpm.pending,LEN('Job Planning'!$L28)-LEN(SUBSTITUTE('Job Planning'!$L28,",",""))+1,IF('Job Planning'!$L28="",0,_xlpm.pending))</f>
        <v>0</v>
      </c>
      <c r="O28" s="7">
        <f>SUM('Job Planning'!$P28:$Q28)</f>
        <v>0</v>
      </c>
      <c r="P28" s="7">
        <f>COUNTIFS('Defect List'!C:C,'Job Planning'!G28,'Defect List'!B:B,"Outstanding",'Defect List'!G:G,"Major")</f>
        <v>0</v>
      </c>
      <c r="Q28" s="7">
        <f>COUNTIFS('Defect List'!C:C,'Job Planning'!G28,'Defect List'!B:B,"Outstanding",'Defect List'!G:G,"Minor")</f>
        <v>0</v>
      </c>
      <c r="R28" s="8" t="str" cm="1">
        <f t="array" ref="R28">_xlfn.TEXTJOIN("
",TRUE,_xlfn._xlws.FILTER('Outstanding Defect (PQ)'!G:G,'Outstanding Defect (PQ)'!B:B='Job Planning'!G28,""))</f>
        <v/>
      </c>
      <c r="S28" s="3"/>
      <c r="T28" s="30" t="str">
        <f>_xlfn.TEXTAFTER(G28,"-",-2)</f>
        <v>ELEC-8218</v>
      </c>
      <c r="U28" s="1" t="str">
        <f>IF(_xlfn.XLOOKUP('Job Planning'!$G28,Search!B:B,Search!C:C,"",0)="","",_xlfn.XLOOKUP('Job Planning'!$G28,Search!B:B,Search!C:C,"",0))</f>
        <v/>
      </c>
      <c r="V28" s="1" t="str">
        <f>_xlfn.XLOOKUP('Job Planning'!$T28,Search!A:A,Search!C:C,"",0)</f>
        <v/>
      </c>
      <c r="W28" s="1" t="str">
        <f>_xlfn.XLOOKUP('Job Planning'!$B28,Search!B:B,Search!C:C,"",0)</f>
        <v/>
      </c>
    </row>
    <row r="29" spans="1:23" ht="14.4">
      <c r="A29" s="1" t="s">
        <v>13</v>
      </c>
      <c r="B29" s="1" t="s">
        <v>65</v>
      </c>
      <c r="C29" s="1" t="s">
        <v>7</v>
      </c>
      <c r="D29" s="3" t="str">
        <f>IF(AND('Job Planning'!$L29="",'Job Planning'!$O29=0)=TRUE,"Can Close","Can't")</f>
        <v>Can't</v>
      </c>
      <c r="E29" s="3" t="str">
        <f>_xlfn.TEXTJOIN(", ",TRUE,IF(N29=0,"","Inspection"),IF('Job Planning'!$O29=0,"","Defect"))</f>
        <v>Defect</v>
      </c>
      <c r="F29" s="5"/>
      <c r="G29" s="4" t="s">
        <v>281</v>
      </c>
      <c r="H29" s="1" t="s">
        <v>8</v>
      </c>
      <c r="I29" s="1" t="s">
        <v>8</v>
      </c>
      <c r="J29" s="1" t="s">
        <v>8</v>
      </c>
      <c r="K29" s="1" t="s">
        <v>8</v>
      </c>
      <c r="L29" s="28" t="str">
        <f>_xlfn.TEXTJOIN(", ",TRUE,
IF(ISNUMBER(MATCH('Job Planning'!$H29,{"To Be Signed","Started","Awaiting RFI","Outstanding","RFI Scheduled"},0)),"Stage 1",""),
IF(ISNUMBER(MATCH('Job Planning'!$I29,{"To Be Signed","Started","Awaiting RFI","Outstanding","RFI Scheduled"},0)),"Stage 2",""),
IF(ISNUMBER(MATCH('Job Planning'!$J29,{"To Be Signed","Started","Awaiting RFI","Outstanding","RFI Scheduled"},0)),"Stage 3",""),
IF(ISNUMBER(MATCH('Job Planning'!$K29,{"To Be Signed","Started","Awaiting RFI","Outstanding","RFI Scheduled"},0)),"Stage 4",""))</f>
        <v/>
      </c>
      <c r="M29" s="1">
        <f>4-COUNTIF('Job Planning'!$H29:$K29,"N/A")-_xlfn.LET(_xlpm.pending,LEN('Job Planning'!$L29)-LEN(SUBSTITUTE('Job Planning'!$L29,",",""))+1,IF('Job Planning'!$L29="",0,_xlpm.pending))</f>
        <v>4</v>
      </c>
      <c r="N29" s="1">
        <f>_xlfn.LET(_xlpm.pending,LEN('Job Planning'!$L29)-LEN(SUBSTITUTE('Job Planning'!$L29,",",""))+1,IF('Job Planning'!$L29="",0,_xlpm.pending))</f>
        <v>0</v>
      </c>
      <c r="O29" s="1">
        <f>SUM('Job Planning'!$P29:$Q29)</f>
        <v>2</v>
      </c>
      <c r="P29" s="1">
        <f>COUNTIFS('Defect List'!C:C,'Job Planning'!G29,'Defect List'!B:B,"Outstanding",'Defect List'!G:G,"Major")</f>
        <v>0</v>
      </c>
      <c r="Q29" s="1">
        <f>COUNTIFS('Defect List'!C:C,'Job Planning'!G29,'Defect List'!B:B,"Outstanding",'Defect List'!G:G,"Minor")</f>
        <v>2</v>
      </c>
      <c r="R29" s="4" t="str" cm="1">
        <f t="array" ref="R29">_xlfn.TEXTJOIN("
",TRUE,_xlfn._xlws.FILTER('Outstanding Defect (PQ)'!G:G,'Outstanding Defect (PQ)'!B:B='Job Planning'!G29,""))</f>
        <v>No. 1) Incomplete Maintenance Record
No. 2) Missing physical receipt of purchase</v>
      </c>
      <c r="S29" s="3">
        <v>46768</v>
      </c>
      <c r="T29" s="30" t="str">
        <f>_xlfn.TEXTAFTER(G29,"-",-2)</f>
        <v>ELEC-8216A</v>
      </c>
      <c r="U29" s="1" t="str">
        <f>IF(_xlfn.XLOOKUP('Job Planning'!$G29,Search!B:B,Search!C:C,"",0)="","",_xlfn.XLOOKUP('Job Planning'!$G29,Search!B:B,Search!C:C,"",0))</f>
        <v/>
      </c>
      <c r="V29" s="1" t="str">
        <f>_xlfn.XLOOKUP('Job Planning'!$T29,Search!A:A,Search!C:C,"",0)</f>
        <v/>
      </c>
      <c r="W29" s="1" t="str">
        <f>_xlfn.XLOOKUP('Job Planning'!$B29,Search!B:B,Search!C:C,"",0)</f>
        <v/>
      </c>
    </row>
    <row r="30" spans="1:23" ht="14.4">
      <c r="A30" s="7" t="s">
        <v>13</v>
      </c>
      <c r="B30" s="7" t="s">
        <v>66</v>
      </c>
      <c r="C30" s="7" t="s">
        <v>8</v>
      </c>
      <c r="D30" s="6" t="str">
        <f>IF(AND('Job Planning'!$L30="",'Job Planning'!$O30=0)=TRUE,"Can Close","Can't")</f>
        <v>Can Close</v>
      </c>
      <c r="E30" s="6" t="str">
        <f>_xlfn.TEXTJOIN(", ",TRUE,IF(N30=0,"","Inspection"),IF('Job Planning'!$O30=0,"","Defect"))</f>
        <v/>
      </c>
      <c r="F30" s="21"/>
      <c r="G30" s="8" t="s">
        <v>318</v>
      </c>
      <c r="H30" s="7" t="s">
        <v>8</v>
      </c>
      <c r="I30" s="7" t="s">
        <v>8</v>
      </c>
      <c r="J30" s="7" t="s">
        <v>8</v>
      </c>
      <c r="K30" s="7" t="s">
        <v>8</v>
      </c>
      <c r="L30" s="19" t="str">
        <f>_xlfn.TEXTJOIN(", ",TRUE,
IF(ISNUMBER(MATCH('Job Planning'!$H30,{"To Be Signed","Started","Awaiting RFI","Outstanding","RFI Scheduled"},0)),"Stage 1",""),
IF(ISNUMBER(MATCH('Job Planning'!$I30,{"To Be Signed","Started","Awaiting RFI","Outstanding","RFI Scheduled"},0)),"Stage 2",""),
IF(ISNUMBER(MATCH('Job Planning'!$J30,{"To Be Signed","Started","Awaiting RFI","Outstanding","RFI Scheduled"},0)),"Stage 3",""),
IF(ISNUMBER(MATCH('Job Planning'!$K30,{"To Be Signed","Started","Awaiting RFI","Outstanding","RFI Scheduled"},0)),"Stage 4",""))</f>
        <v/>
      </c>
      <c r="M30" s="7">
        <f>4-COUNTIF('Job Planning'!$H30:$K30,"N/A")-_xlfn.LET(_xlpm.pending,LEN('Job Planning'!$L30)-LEN(SUBSTITUTE('Job Planning'!$L30,",",""))+1,IF('Job Planning'!$L30="",0,_xlpm.pending))</f>
        <v>4</v>
      </c>
      <c r="N30" s="7">
        <f>_xlfn.LET(_xlpm.pending,LEN('Job Planning'!$L30)-LEN(SUBSTITUTE('Job Planning'!$L30,",",""))+1,IF('Job Planning'!$L30="",0,_xlpm.pending))</f>
        <v>0</v>
      </c>
      <c r="O30" s="7">
        <f>SUM('Job Planning'!$P30:$Q30)</f>
        <v>0</v>
      </c>
      <c r="P30" s="7">
        <f>COUNTIFS('Defect List'!C:C,'Job Planning'!G30,'Defect List'!B:B,"Outstanding",'Defect List'!G:G,"Major")</f>
        <v>0</v>
      </c>
      <c r="Q30" s="7">
        <f>COUNTIFS('Defect List'!C:C,'Job Planning'!G30,'Defect List'!B:B,"Outstanding",'Defect List'!G:G,"Minor")</f>
        <v>0</v>
      </c>
      <c r="R30" s="8" t="str" cm="1">
        <f t="array" ref="R30">_xlfn.TEXTJOIN("
",TRUE,_xlfn._xlws.FILTER('Outstanding Defect (PQ)'!G:G,'Outstanding Defect (PQ)'!B:B='Job Planning'!G30,""))</f>
        <v/>
      </c>
      <c r="S30" s="3"/>
      <c r="T30" s="30" t="str">
        <f>_xlfn.TEXTAFTER(G30,"-",-2)</f>
        <v>ELEC-8207</v>
      </c>
      <c r="U30" s="1" t="str">
        <f>IF(_xlfn.XLOOKUP('Job Planning'!$G30,Search!B:B,Search!C:C,"",0)="","",_xlfn.XLOOKUP('Job Planning'!$G30,Search!B:B,Search!C:C,"",0))</f>
        <v/>
      </c>
      <c r="V30" s="1" t="str">
        <f>_xlfn.XLOOKUP('Job Planning'!$T30,Search!A:A,Search!C:C,"",0)</f>
        <v/>
      </c>
      <c r="W30" s="1" t="str">
        <f>_xlfn.XLOOKUP('Job Planning'!$B30,Search!B:B,Search!C:C,"",0)</f>
        <v/>
      </c>
    </row>
    <row r="31" spans="1:23" ht="14.4">
      <c r="A31" s="1" t="s">
        <v>13</v>
      </c>
      <c r="B31" s="1" t="s">
        <v>67</v>
      </c>
      <c r="C31" s="1" t="s">
        <v>7</v>
      </c>
      <c r="D31" s="3" t="str">
        <f>IF(AND('Job Planning'!$L31="",'Job Planning'!$O31=0)=TRUE,"Can Close","Can't")</f>
        <v>Can't</v>
      </c>
      <c r="E31" s="3" t="str">
        <f>_xlfn.TEXTJOIN(", ",TRUE,IF(N31=0,"","Inspection"),IF('Job Planning'!$O31=0,"","Defect"))</f>
        <v>Inspection, Defect</v>
      </c>
      <c r="F31" s="5"/>
      <c r="G31" s="4" t="s">
        <v>282</v>
      </c>
      <c r="H31" s="1" t="s">
        <v>8</v>
      </c>
      <c r="I31" s="1" t="s">
        <v>8</v>
      </c>
      <c r="J31" s="1" t="s">
        <v>8</v>
      </c>
      <c r="K31" s="1" t="s">
        <v>173</v>
      </c>
      <c r="L31" s="28" t="str">
        <f>_xlfn.TEXTJOIN(", ",TRUE,
IF(ISNUMBER(MATCH('Job Planning'!$H31,{"To Be Signed","Started","Awaiting RFI","Outstanding","RFI Scheduled"},0)),"Stage 1",""),
IF(ISNUMBER(MATCH('Job Planning'!$I31,{"To Be Signed","Started","Awaiting RFI","Outstanding","RFI Scheduled"},0)),"Stage 2",""),
IF(ISNUMBER(MATCH('Job Planning'!$J31,{"To Be Signed","Started","Awaiting RFI","Outstanding","RFI Scheduled"},0)),"Stage 3",""),
IF(ISNUMBER(MATCH('Job Planning'!$K31,{"To Be Signed","Started","Awaiting RFI","Outstanding","RFI Scheduled"},0)),"Stage 4",""))</f>
        <v>Stage 4</v>
      </c>
      <c r="M31" s="1">
        <f>4-COUNTIF('Job Planning'!$H31:$K31,"N/A")-_xlfn.LET(_xlpm.pending,LEN('Job Planning'!$L31)-LEN(SUBSTITUTE('Job Planning'!$L31,",",""))+1,IF('Job Planning'!$L31="",0,_xlpm.pending))</f>
        <v>3</v>
      </c>
      <c r="N31" s="1">
        <f>_xlfn.LET(_xlpm.pending,LEN('Job Planning'!$L31)-LEN(SUBSTITUTE('Job Planning'!$L31,",",""))+1,IF('Job Planning'!$L31="",0,_xlpm.pending))</f>
        <v>1</v>
      </c>
      <c r="O31" s="1">
        <f>SUM('Job Planning'!$P31:$Q31)</f>
        <v>7</v>
      </c>
      <c r="P31" s="1">
        <f>COUNTIFS('Defect List'!C:C,'Job Planning'!G31,'Defect List'!B:B,"Outstanding",'Defect List'!G:G,"Major")</f>
        <v>4</v>
      </c>
      <c r="Q31" s="1">
        <f>COUNTIFS('Defect List'!C:C,'Job Planning'!G31,'Defect List'!B:B,"Outstanding",'Defect List'!G:G,"Minor")</f>
        <v>3</v>
      </c>
      <c r="R31" s="4" t="str" cm="1">
        <f t="array" ref="R31">_xlfn.TEXTJOIN("
",TRUE,_xlfn._xlws.FILTER('Outstanding Defect (PQ)'!G:G,'Outstanding Defect (PQ)'!B:B='Job Planning'!G31,""))</f>
        <v>No. 1) Electrical Safety Non-Compliance
No. 2) Mechanical System Malfunction
No. 3) Structural Integrity Issue
No. 4) Regulatory Approval Pending
No. 5) Incomplete Maintenance Record
No. 6) Missing physical receipt of purchase
No. 7) Missing Equipment Label</v>
      </c>
      <c r="S31" s="3">
        <v>46817</v>
      </c>
      <c r="T31" s="30" t="str">
        <f>_xlfn.TEXTAFTER(G31,"-",-2)</f>
        <v>INST-8206</v>
      </c>
      <c r="U31" s="1" t="str">
        <f>IF(_xlfn.XLOOKUP('Job Planning'!$G31,Search!B:B,Search!C:C,"",0)="","",_xlfn.XLOOKUP('Job Planning'!$G31,Search!B:B,Search!C:C,"",0))</f>
        <v/>
      </c>
      <c r="V31" s="1" t="str">
        <f>_xlfn.XLOOKUP('Job Planning'!$T31,Search!A:A,Search!C:C,"",0)</f>
        <v/>
      </c>
      <c r="W31" s="1" t="str">
        <f>_xlfn.XLOOKUP('Job Planning'!$B31,Search!B:B,Search!C:C,"",0)</f>
        <v/>
      </c>
    </row>
    <row r="32" spans="1:23" ht="14.4">
      <c r="A32" s="7" t="s">
        <v>13</v>
      </c>
      <c r="B32" s="7" t="s">
        <v>68</v>
      </c>
      <c r="C32" s="7" t="s">
        <v>8</v>
      </c>
      <c r="D32" s="6" t="str">
        <f>IF(AND('Job Planning'!$L32="",'Job Planning'!$O32=0)=TRUE,"Can Close","Can't")</f>
        <v>Can Close</v>
      </c>
      <c r="E32" s="6" t="str">
        <f>_xlfn.TEXTJOIN(", ",TRUE,IF(N32=0,"","Inspection"),IF('Job Planning'!$O32=0,"","Defect"))</f>
        <v/>
      </c>
      <c r="F32" s="21"/>
      <c r="G32" s="8" t="s">
        <v>319</v>
      </c>
      <c r="H32" s="7" t="s">
        <v>8</v>
      </c>
      <c r="I32" s="7" t="s">
        <v>8</v>
      </c>
      <c r="J32" s="7" t="s">
        <v>8</v>
      </c>
      <c r="K32" s="7" t="s">
        <v>8</v>
      </c>
      <c r="L32" s="19" t="str">
        <f>_xlfn.TEXTJOIN(", ",TRUE,
IF(ISNUMBER(MATCH('Job Planning'!$H32,{"To Be Signed","Started","Awaiting RFI","Outstanding","RFI Scheduled"},0)),"Stage 1",""),
IF(ISNUMBER(MATCH('Job Planning'!$I32,{"To Be Signed","Started","Awaiting RFI","Outstanding","RFI Scheduled"},0)),"Stage 2",""),
IF(ISNUMBER(MATCH('Job Planning'!$J32,{"To Be Signed","Started","Awaiting RFI","Outstanding","RFI Scheduled"},0)),"Stage 3",""),
IF(ISNUMBER(MATCH('Job Planning'!$K32,{"To Be Signed","Started","Awaiting RFI","Outstanding","RFI Scheduled"},0)),"Stage 4",""))</f>
        <v/>
      </c>
      <c r="M32" s="7">
        <f>4-COUNTIF('Job Planning'!$H32:$K32,"N/A")-_xlfn.LET(_xlpm.pending,LEN('Job Planning'!$L32)-LEN(SUBSTITUTE('Job Planning'!$L32,",",""))+1,IF('Job Planning'!$L32="",0,_xlpm.pending))</f>
        <v>4</v>
      </c>
      <c r="N32" s="7">
        <f>_xlfn.LET(_xlpm.pending,LEN('Job Planning'!$L32)-LEN(SUBSTITUTE('Job Planning'!$L32,",",""))+1,IF('Job Planning'!$L32="",0,_xlpm.pending))</f>
        <v>0</v>
      </c>
      <c r="O32" s="7">
        <f>SUM('Job Planning'!$P32:$Q32)</f>
        <v>0</v>
      </c>
      <c r="P32" s="7">
        <f>COUNTIFS('Defect List'!C:C,'Job Planning'!G32,'Defect List'!B:B,"Outstanding",'Defect List'!G:G,"Major")</f>
        <v>0</v>
      </c>
      <c r="Q32" s="7">
        <f>COUNTIFS('Defect List'!C:C,'Job Planning'!G32,'Defect List'!B:B,"Outstanding",'Defect List'!G:G,"Minor")</f>
        <v>0</v>
      </c>
      <c r="R32" s="8" t="str" cm="1">
        <f t="array" ref="R32">_xlfn.TEXTJOIN("
",TRUE,_xlfn._xlws.FILTER('Outstanding Defect (PQ)'!G:G,'Outstanding Defect (PQ)'!B:B='Job Planning'!G32,""))</f>
        <v/>
      </c>
      <c r="S32" s="3"/>
      <c r="T32" s="30" t="str">
        <f>_xlfn.TEXTAFTER(G32,"-",-2)</f>
        <v>ELEC-8205</v>
      </c>
      <c r="U32" s="1" t="str">
        <f>IF(_xlfn.XLOOKUP('Job Planning'!$G32,Search!B:B,Search!C:C,"",0)="","",_xlfn.XLOOKUP('Job Planning'!$G32,Search!B:B,Search!C:C,"",0))</f>
        <v/>
      </c>
      <c r="V32" s="1" t="str">
        <f>_xlfn.XLOOKUP('Job Planning'!$T32,Search!A:A,Search!C:C,"",0)</f>
        <v/>
      </c>
      <c r="W32" s="1" t="str">
        <f>_xlfn.XLOOKUP('Job Planning'!$B32,Search!B:B,Search!C:C,"",0)</f>
        <v/>
      </c>
    </row>
    <row r="33" spans="1:23" ht="14.4">
      <c r="A33" s="7" t="s">
        <v>13</v>
      </c>
      <c r="B33" s="7" t="s">
        <v>69</v>
      </c>
      <c r="C33" s="7" t="s">
        <v>8</v>
      </c>
      <c r="D33" s="6" t="str">
        <f>IF(AND('Job Planning'!$L33="",'Job Planning'!$O33=0)=TRUE,"Can Close","Can't")</f>
        <v>Can Close</v>
      </c>
      <c r="E33" s="6" t="str">
        <f>_xlfn.TEXTJOIN(", ",TRUE,IF(N33=0,"","Inspection"),IF('Job Planning'!$O33=0,"","Defect"))</f>
        <v/>
      </c>
      <c r="F33" s="21"/>
      <c r="G33" s="8" t="s">
        <v>320</v>
      </c>
      <c r="H33" s="7" t="s">
        <v>8</v>
      </c>
      <c r="I33" s="7" t="s">
        <v>8</v>
      </c>
      <c r="J33" s="7" t="s">
        <v>8</v>
      </c>
      <c r="K33" s="7" t="s">
        <v>8</v>
      </c>
      <c r="L33" s="19" t="str">
        <f>_xlfn.TEXTJOIN(", ",TRUE,
IF(ISNUMBER(MATCH('Job Planning'!$H33,{"To Be Signed","Started","Awaiting RFI","Outstanding","RFI Scheduled"},0)),"Stage 1",""),
IF(ISNUMBER(MATCH('Job Planning'!$I33,{"To Be Signed","Started","Awaiting RFI","Outstanding","RFI Scheduled"},0)),"Stage 2",""),
IF(ISNUMBER(MATCH('Job Planning'!$J33,{"To Be Signed","Started","Awaiting RFI","Outstanding","RFI Scheduled"},0)),"Stage 3",""),
IF(ISNUMBER(MATCH('Job Planning'!$K33,{"To Be Signed","Started","Awaiting RFI","Outstanding","RFI Scheduled"},0)),"Stage 4",""))</f>
        <v/>
      </c>
      <c r="M33" s="7">
        <f>4-COUNTIF('Job Planning'!$H33:$K33,"N/A")-_xlfn.LET(_xlpm.pending,LEN('Job Planning'!$L33)-LEN(SUBSTITUTE('Job Planning'!$L33,",",""))+1,IF('Job Planning'!$L33="",0,_xlpm.pending))</f>
        <v>4</v>
      </c>
      <c r="N33" s="7">
        <f>_xlfn.LET(_xlpm.pending,LEN('Job Planning'!$L33)-LEN(SUBSTITUTE('Job Planning'!$L33,",",""))+1,IF('Job Planning'!$L33="",0,_xlpm.pending))</f>
        <v>0</v>
      </c>
      <c r="O33" s="7">
        <f>SUM('Job Planning'!$P33:$Q33)</f>
        <v>0</v>
      </c>
      <c r="P33" s="7">
        <f>COUNTIFS('Defect List'!C:C,'Job Planning'!G33,'Defect List'!B:B,"Outstanding",'Defect List'!G:G,"Major")</f>
        <v>0</v>
      </c>
      <c r="Q33" s="7">
        <f>COUNTIFS('Defect List'!C:C,'Job Planning'!G33,'Defect List'!B:B,"Outstanding",'Defect List'!G:G,"Minor")</f>
        <v>0</v>
      </c>
      <c r="R33" s="8" t="str" cm="1">
        <f t="array" ref="R33">_xlfn.TEXTJOIN("
",TRUE,_xlfn._xlws.FILTER('Outstanding Defect (PQ)'!G:G,'Outstanding Defect (PQ)'!B:B='Job Planning'!G33,""))</f>
        <v/>
      </c>
      <c r="S33" s="3"/>
      <c r="T33" s="30" t="str">
        <f>_xlfn.TEXTAFTER(G33,"-",-2)</f>
        <v>HVAC-8202</v>
      </c>
      <c r="U33" s="1" t="str">
        <f>IF(_xlfn.XLOOKUP('Job Planning'!$G33,Search!B:B,Search!C:C,"",0)="","",_xlfn.XLOOKUP('Job Planning'!$G33,Search!B:B,Search!C:C,"",0))</f>
        <v/>
      </c>
      <c r="V33" s="1" t="str">
        <f>_xlfn.XLOOKUP('Job Planning'!$T33,Search!A:A,Search!C:C,"",0)</f>
        <v/>
      </c>
      <c r="W33" s="1" t="str">
        <f>_xlfn.XLOOKUP('Job Planning'!$B33,Search!B:B,Search!C:C,"",0)</f>
        <v/>
      </c>
    </row>
    <row r="34" spans="1:23" ht="14.4">
      <c r="A34" s="7" t="s">
        <v>13</v>
      </c>
      <c r="B34" s="7" t="s">
        <v>70</v>
      </c>
      <c r="C34" s="7" t="s">
        <v>8</v>
      </c>
      <c r="D34" s="6" t="str">
        <f>IF(AND('Job Planning'!$L34="",'Job Planning'!$O34=0)=TRUE,"Can Close","Can't")</f>
        <v>Can Close</v>
      </c>
      <c r="E34" s="6" t="str">
        <f>_xlfn.TEXTJOIN(", ",TRUE,IF(N34=0,"","Inspection"),IF('Job Planning'!$O34=0,"","Defect"))</f>
        <v/>
      </c>
      <c r="F34" s="21"/>
      <c r="G34" s="8" t="s">
        <v>321</v>
      </c>
      <c r="H34" s="7" t="s">
        <v>8</v>
      </c>
      <c r="I34" s="7" t="s">
        <v>8</v>
      </c>
      <c r="J34" s="7" t="s">
        <v>8</v>
      </c>
      <c r="K34" s="7" t="s">
        <v>8</v>
      </c>
      <c r="L34" s="19" t="str">
        <f>_xlfn.TEXTJOIN(", ",TRUE,
IF(ISNUMBER(MATCH('Job Planning'!$H34,{"To Be Signed","Started","Awaiting RFI","Outstanding","RFI Scheduled"},0)),"Stage 1",""),
IF(ISNUMBER(MATCH('Job Planning'!$I34,{"To Be Signed","Started","Awaiting RFI","Outstanding","RFI Scheduled"},0)),"Stage 2",""),
IF(ISNUMBER(MATCH('Job Planning'!$J34,{"To Be Signed","Started","Awaiting RFI","Outstanding","RFI Scheduled"},0)),"Stage 3",""),
IF(ISNUMBER(MATCH('Job Planning'!$K34,{"To Be Signed","Started","Awaiting RFI","Outstanding","RFI Scheduled"},0)),"Stage 4",""))</f>
        <v/>
      </c>
      <c r="M34" s="7">
        <f>4-COUNTIF('Job Planning'!$H34:$K34,"N/A")-_xlfn.LET(_xlpm.pending,LEN('Job Planning'!$L34)-LEN(SUBSTITUTE('Job Planning'!$L34,",",""))+1,IF('Job Planning'!$L34="",0,_xlpm.pending))</f>
        <v>4</v>
      </c>
      <c r="N34" s="7">
        <f>_xlfn.LET(_xlpm.pending,LEN('Job Planning'!$L34)-LEN(SUBSTITUTE('Job Planning'!$L34,",",""))+1,IF('Job Planning'!$L34="",0,_xlpm.pending))</f>
        <v>0</v>
      </c>
      <c r="O34" s="7">
        <f>SUM('Job Planning'!$P34:$Q34)</f>
        <v>0</v>
      </c>
      <c r="P34" s="7">
        <f>COUNTIFS('Defect List'!C:C,'Job Planning'!G34,'Defect List'!B:B,"Outstanding",'Defect List'!G:G,"Major")</f>
        <v>0</v>
      </c>
      <c r="Q34" s="7">
        <f>COUNTIFS('Defect List'!C:C,'Job Planning'!G34,'Defect List'!B:B,"Outstanding",'Defect List'!G:G,"Minor")</f>
        <v>0</v>
      </c>
      <c r="R34" s="8" t="str" cm="1">
        <f t="array" ref="R34">_xlfn.TEXTJOIN("
",TRUE,_xlfn._xlws.FILTER('Outstanding Defect (PQ)'!G:G,'Outstanding Defect (PQ)'!B:B='Job Planning'!G34,""))</f>
        <v/>
      </c>
      <c r="S34" s="3"/>
      <c r="T34" s="30" t="str">
        <f>_xlfn.TEXTAFTER(G34,"-",-2)</f>
        <v>CIV-8251A</v>
      </c>
      <c r="U34" s="1" t="str">
        <f>IF(_xlfn.XLOOKUP('Job Planning'!$G34,Search!B:B,Search!C:C,"",0)="","",_xlfn.XLOOKUP('Job Planning'!$G34,Search!B:B,Search!C:C,"",0))</f>
        <v/>
      </c>
      <c r="V34" s="1" t="str">
        <f>_xlfn.XLOOKUP('Job Planning'!$T34,Search!A:A,Search!C:C,"",0)</f>
        <v/>
      </c>
      <c r="W34" s="1" t="str">
        <f>_xlfn.XLOOKUP('Job Planning'!$B34,Search!B:B,Search!C:C,"",0)</f>
        <v/>
      </c>
    </row>
    <row r="35" spans="1:23" ht="14.4">
      <c r="A35" s="7" t="s">
        <v>19</v>
      </c>
      <c r="B35" s="7" t="s">
        <v>20</v>
      </c>
      <c r="C35" s="7" t="s">
        <v>8</v>
      </c>
      <c r="D35" s="6" t="str">
        <f>IF(AND('Job Planning'!$L35="",'Job Planning'!$O35=0)=TRUE,"Can Close","Can't")</f>
        <v>Can Close</v>
      </c>
      <c r="E35" s="6" t="str">
        <f>_xlfn.TEXTJOIN(", ",TRUE,IF(N35=0,"","Inspection"),IF('Job Planning'!$O35=0,"","Defect"))</f>
        <v/>
      </c>
      <c r="F35" s="21"/>
      <c r="G35" s="8" t="s">
        <v>322</v>
      </c>
      <c r="H35" s="7" t="s">
        <v>8</v>
      </c>
      <c r="I35" s="7" t="s">
        <v>8</v>
      </c>
      <c r="J35" s="7" t="s">
        <v>8</v>
      </c>
      <c r="K35" s="7" t="s">
        <v>8</v>
      </c>
      <c r="L35" s="19" t="str">
        <f>_xlfn.TEXTJOIN(", ",TRUE,
IF(ISNUMBER(MATCH('Job Planning'!$H35,{"To Be Signed","Started","Awaiting RFI","Outstanding","RFI Scheduled"},0)),"Stage 1",""),
IF(ISNUMBER(MATCH('Job Planning'!$I35,{"To Be Signed","Started","Awaiting RFI","Outstanding","RFI Scheduled"},0)),"Stage 2",""),
IF(ISNUMBER(MATCH('Job Planning'!$J35,{"To Be Signed","Started","Awaiting RFI","Outstanding","RFI Scheduled"},0)),"Stage 3",""),
IF(ISNUMBER(MATCH('Job Planning'!$K35,{"To Be Signed","Started","Awaiting RFI","Outstanding","RFI Scheduled"},0)),"Stage 4",""))</f>
        <v/>
      </c>
      <c r="M35" s="7">
        <f>4-COUNTIF('Job Planning'!$H35:$K35,"N/A")-_xlfn.LET(_xlpm.pending,LEN('Job Planning'!$L35)-LEN(SUBSTITUTE('Job Planning'!$L35,",",""))+1,IF('Job Planning'!$L35="",0,_xlpm.pending))</f>
        <v>4</v>
      </c>
      <c r="N35" s="7">
        <f>_xlfn.LET(_xlpm.pending,LEN('Job Planning'!$L35)-LEN(SUBSTITUTE('Job Planning'!$L35,",",""))+1,IF('Job Planning'!$L35="",0,_xlpm.pending))</f>
        <v>0</v>
      </c>
      <c r="O35" s="7">
        <f>SUM('Job Planning'!$P35:$Q35)</f>
        <v>0</v>
      </c>
      <c r="P35" s="7">
        <f>COUNTIFS('Defect List'!C:C,'Job Planning'!G35,'Defect List'!B:B,"Outstanding",'Defect List'!G:G,"Major")</f>
        <v>0</v>
      </c>
      <c r="Q35" s="7">
        <f>COUNTIFS('Defect List'!C:C,'Job Planning'!G35,'Defect List'!B:B,"Outstanding",'Defect List'!G:G,"Minor")</f>
        <v>0</v>
      </c>
      <c r="R35" s="8" t="str" cm="1">
        <f t="array" ref="R35">_xlfn.TEXTJOIN("
",TRUE,_xlfn._xlws.FILTER('Outstanding Defect (PQ)'!G:G,'Outstanding Defect (PQ)'!B:B='Job Planning'!G35,""))</f>
        <v/>
      </c>
      <c r="S35" s="3"/>
      <c r="T35" s="30" t="str">
        <f>_xlfn.TEXTAFTER(G35,"-",-2)</f>
        <v>IT-4308</v>
      </c>
      <c r="U35" s="1" t="str">
        <f>IF(_xlfn.XLOOKUP('Job Planning'!$G35,Search!B:B,Search!C:C,"",0)="","",_xlfn.XLOOKUP('Job Planning'!$G35,Search!B:B,Search!C:C,"",0))</f>
        <v/>
      </c>
      <c r="V35" s="1" t="str">
        <f>_xlfn.XLOOKUP('Job Planning'!$T35,Search!A:A,Search!C:C,"",0)</f>
        <v/>
      </c>
      <c r="W35" s="1" t="str">
        <f>_xlfn.XLOOKUP('Job Planning'!$B35,Search!B:B,Search!C:C,"",0)</f>
        <v/>
      </c>
    </row>
    <row r="36" spans="1:23" ht="14.4">
      <c r="A36" s="7" t="s">
        <v>19</v>
      </c>
      <c r="B36" s="7" t="s">
        <v>21</v>
      </c>
      <c r="C36" s="7" t="s">
        <v>8</v>
      </c>
      <c r="D36" s="6" t="str">
        <f>IF(AND('Job Planning'!$L36="",'Job Planning'!$O36=0)=TRUE,"Can Close","Can't")</f>
        <v>Can Close</v>
      </c>
      <c r="E36" s="6" t="str">
        <f>_xlfn.TEXTJOIN(", ",TRUE,IF(N36=0,"","Inspection"),IF('Job Planning'!$O36=0,"","Defect"))</f>
        <v/>
      </c>
      <c r="F36" s="21"/>
      <c r="G36" s="8" t="s">
        <v>323</v>
      </c>
      <c r="H36" s="7" t="s">
        <v>8</v>
      </c>
      <c r="I36" s="7" t="s">
        <v>8</v>
      </c>
      <c r="J36" s="7" t="s">
        <v>8</v>
      </c>
      <c r="K36" s="7" t="s">
        <v>8</v>
      </c>
      <c r="L36" s="19" t="str">
        <f>_xlfn.TEXTJOIN(", ",TRUE,
IF(ISNUMBER(MATCH('Job Planning'!$H36,{"To Be Signed","Started","Awaiting RFI","Outstanding","RFI Scheduled"},0)),"Stage 1",""),
IF(ISNUMBER(MATCH('Job Planning'!$I36,{"To Be Signed","Started","Awaiting RFI","Outstanding","RFI Scheduled"},0)),"Stage 2",""),
IF(ISNUMBER(MATCH('Job Planning'!$J36,{"To Be Signed","Started","Awaiting RFI","Outstanding","RFI Scheduled"},0)),"Stage 3",""),
IF(ISNUMBER(MATCH('Job Planning'!$K36,{"To Be Signed","Started","Awaiting RFI","Outstanding","RFI Scheduled"},0)),"Stage 4",""))</f>
        <v/>
      </c>
      <c r="M36" s="7">
        <f>4-COUNTIF('Job Planning'!$H36:$K36,"N/A")-_xlfn.LET(_xlpm.pending,LEN('Job Planning'!$L36)-LEN(SUBSTITUTE('Job Planning'!$L36,",",""))+1,IF('Job Planning'!$L36="",0,_xlpm.pending))</f>
        <v>4</v>
      </c>
      <c r="N36" s="7">
        <f>_xlfn.LET(_xlpm.pending,LEN('Job Planning'!$L36)-LEN(SUBSTITUTE('Job Planning'!$L36,",",""))+1,IF('Job Planning'!$L36="",0,_xlpm.pending))</f>
        <v>0</v>
      </c>
      <c r="O36" s="7">
        <f>SUM('Job Planning'!$P36:$Q36)</f>
        <v>0</v>
      </c>
      <c r="P36" s="7">
        <f>COUNTIFS('Defect List'!C:C,'Job Planning'!G36,'Defect List'!B:B,"Outstanding",'Defect List'!G:G,"Major")</f>
        <v>0</v>
      </c>
      <c r="Q36" s="7">
        <f>COUNTIFS('Defect List'!C:C,'Job Planning'!G36,'Defect List'!B:B,"Outstanding",'Defect List'!G:G,"Minor")</f>
        <v>0</v>
      </c>
      <c r="R36" s="8" t="str" cm="1">
        <f t="array" ref="R36">_xlfn.TEXTJOIN("
",TRUE,_xlfn._xlws.FILTER('Outstanding Defect (PQ)'!G:G,'Outstanding Defect (PQ)'!B:B='Job Planning'!G36,""))</f>
        <v/>
      </c>
      <c r="S36" s="3"/>
      <c r="T36" s="30" t="str">
        <f>_xlfn.TEXTAFTER(G36,"-",-2)</f>
        <v>IT-4303</v>
      </c>
      <c r="U36" s="1" t="str">
        <f>IF(_xlfn.XLOOKUP('Job Planning'!$G36,Search!B:B,Search!C:C,"",0)="","",_xlfn.XLOOKUP('Job Planning'!$G36,Search!B:B,Search!C:C,"",0))</f>
        <v/>
      </c>
      <c r="V36" s="1" t="str">
        <f>_xlfn.XLOOKUP('Job Planning'!$T36,Search!A:A,Search!C:C,"",0)</f>
        <v/>
      </c>
      <c r="W36" s="1" t="str">
        <f>_xlfn.XLOOKUP('Job Planning'!$B36,Search!B:B,Search!C:C,"",0)</f>
        <v/>
      </c>
    </row>
    <row r="37" spans="1:23" ht="14.4">
      <c r="A37" s="7" t="s">
        <v>19</v>
      </c>
      <c r="B37" s="7" t="s">
        <v>22</v>
      </c>
      <c r="C37" s="7" t="s">
        <v>8</v>
      </c>
      <c r="D37" s="6" t="str">
        <f>IF(AND('Job Planning'!$L37="",'Job Planning'!$O37=0)=TRUE,"Can Close","Can't")</f>
        <v>Can Close</v>
      </c>
      <c r="E37" s="6" t="str">
        <f>_xlfn.TEXTJOIN(", ",TRUE,IF(N37=0,"","Inspection"),IF('Job Planning'!$O37=0,"","Defect"))</f>
        <v/>
      </c>
      <c r="F37" s="21"/>
      <c r="G37" s="8" t="s">
        <v>324</v>
      </c>
      <c r="H37" s="7" t="s">
        <v>8</v>
      </c>
      <c r="I37" s="7" t="s">
        <v>8</v>
      </c>
      <c r="J37" s="7" t="s">
        <v>8</v>
      </c>
      <c r="K37" s="7" t="s">
        <v>8</v>
      </c>
      <c r="L37" s="19" t="str">
        <f>_xlfn.TEXTJOIN(", ",TRUE,
IF(ISNUMBER(MATCH('Job Planning'!$H37,{"To Be Signed","Started","Awaiting RFI","Outstanding","RFI Scheduled"},0)),"Stage 1",""),
IF(ISNUMBER(MATCH('Job Planning'!$I37,{"To Be Signed","Started","Awaiting RFI","Outstanding","RFI Scheduled"},0)),"Stage 2",""),
IF(ISNUMBER(MATCH('Job Planning'!$J37,{"To Be Signed","Started","Awaiting RFI","Outstanding","RFI Scheduled"},0)),"Stage 3",""),
IF(ISNUMBER(MATCH('Job Planning'!$K37,{"To Be Signed","Started","Awaiting RFI","Outstanding","RFI Scheduled"},0)),"Stage 4",""))</f>
        <v/>
      </c>
      <c r="M37" s="7">
        <f>4-COUNTIF('Job Planning'!$H37:$K37,"N/A")-_xlfn.LET(_xlpm.pending,LEN('Job Planning'!$L37)-LEN(SUBSTITUTE('Job Planning'!$L37,",",""))+1,IF('Job Planning'!$L37="",0,_xlpm.pending))</f>
        <v>4</v>
      </c>
      <c r="N37" s="7">
        <f>_xlfn.LET(_xlpm.pending,LEN('Job Planning'!$L37)-LEN(SUBSTITUTE('Job Planning'!$L37,",",""))+1,IF('Job Planning'!$L37="",0,_xlpm.pending))</f>
        <v>0</v>
      </c>
      <c r="O37" s="7">
        <f>SUM('Job Planning'!$P37:$Q37)</f>
        <v>0</v>
      </c>
      <c r="P37" s="7">
        <f>COUNTIFS('Defect List'!C:C,'Job Planning'!G37,'Defect List'!B:B,"Outstanding",'Defect List'!G:G,"Major")</f>
        <v>0</v>
      </c>
      <c r="Q37" s="7">
        <f>COUNTIFS('Defect List'!C:C,'Job Planning'!G37,'Defect List'!B:B,"Outstanding",'Defect List'!G:G,"Minor")</f>
        <v>0</v>
      </c>
      <c r="R37" s="8" t="str" cm="1">
        <f t="array" ref="R37">_xlfn.TEXTJOIN("
",TRUE,_xlfn._xlws.FILTER('Outstanding Defect (PQ)'!G:G,'Outstanding Defect (PQ)'!B:B='Job Planning'!G37,""))</f>
        <v/>
      </c>
      <c r="S37" s="3"/>
      <c r="T37" s="30" t="str">
        <f>_xlfn.TEXTAFTER(G37,"-",-2)</f>
        <v>IT-4302</v>
      </c>
      <c r="U37" s="1" t="str">
        <f>IF(_xlfn.XLOOKUP('Job Planning'!$G37,Search!B:B,Search!C:C,"",0)="","",_xlfn.XLOOKUP('Job Planning'!$G37,Search!B:B,Search!C:C,"",0))</f>
        <v/>
      </c>
      <c r="V37" s="1" t="str">
        <f>_xlfn.XLOOKUP('Job Planning'!$T37,Search!A:A,Search!C:C,"",0)</f>
        <v/>
      </c>
      <c r="W37" s="1" t="str">
        <f>_xlfn.XLOOKUP('Job Planning'!$B37,Search!B:B,Search!C:C,"",0)</f>
        <v/>
      </c>
    </row>
    <row r="38" spans="1:23" ht="14.4">
      <c r="A38" s="7" t="s">
        <v>19</v>
      </c>
      <c r="B38" s="7" t="s">
        <v>23</v>
      </c>
      <c r="C38" s="7" t="s">
        <v>8</v>
      </c>
      <c r="D38" s="6" t="str">
        <f>IF(AND('Job Planning'!$L38="",'Job Planning'!$O38=0)=TRUE,"Can Close","Can't")</f>
        <v>Can Close</v>
      </c>
      <c r="E38" s="6" t="str">
        <f>_xlfn.TEXTJOIN(", ",TRUE,IF(N38=0,"","Inspection"),IF('Job Planning'!$O38=0,"","Defect"))</f>
        <v/>
      </c>
      <c r="F38" s="21"/>
      <c r="G38" s="8" t="s">
        <v>325</v>
      </c>
      <c r="H38" s="7" t="s">
        <v>8</v>
      </c>
      <c r="I38" s="7" t="s">
        <v>8</v>
      </c>
      <c r="J38" s="7" t="s">
        <v>8</v>
      </c>
      <c r="K38" s="7" t="s">
        <v>8</v>
      </c>
      <c r="L38" s="19" t="str">
        <f>_xlfn.TEXTJOIN(", ",TRUE,
IF(ISNUMBER(MATCH('Job Planning'!$H38,{"To Be Signed","Started","Awaiting RFI","Outstanding","RFI Scheduled"},0)),"Stage 1",""),
IF(ISNUMBER(MATCH('Job Planning'!$I38,{"To Be Signed","Started","Awaiting RFI","Outstanding","RFI Scheduled"},0)),"Stage 2",""),
IF(ISNUMBER(MATCH('Job Planning'!$J38,{"To Be Signed","Started","Awaiting RFI","Outstanding","RFI Scheduled"},0)),"Stage 3",""),
IF(ISNUMBER(MATCH('Job Planning'!$K38,{"To Be Signed","Started","Awaiting RFI","Outstanding","RFI Scheduled"},0)),"Stage 4",""))</f>
        <v/>
      </c>
      <c r="M38" s="7">
        <f>4-COUNTIF('Job Planning'!$H38:$K38,"N/A")-_xlfn.LET(_xlpm.pending,LEN('Job Planning'!$L38)-LEN(SUBSTITUTE('Job Planning'!$L38,",",""))+1,IF('Job Planning'!$L38="",0,_xlpm.pending))</f>
        <v>4</v>
      </c>
      <c r="N38" s="7">
        <f>_xlfn.LET(_xlpm.pending,LEN('Job Planning'!$L38)-LEN(SUBSTITUTE('Job Planning'!$L38,",",""))+1,IF('Job Planning'!$L38="",0,_xlpm.pending))</f>
        <v>0</v>
      </c>
      <c r="O38" s="7">
        <f>SUM('Job Planning'!$P38:$Q38)</f>
        <v>0</v>
      </c>
      <c r="P38" s="7">
        <f>COUNTIFS('Defect List'!C:C,'Job Planning'!G38,'Defect List'!B:B,"Outstanding",'Defect List'!G:G,"Major")</f>
        <v>0</v>
      </c>
      <c r="Q38" s="7">
        <f>COUNTIFS('Defect List'!C:C,'Job Planning'!G38,'Defect List'!B:B,"Outstanding",'Defect List'!G:G,"Minor")</f>
        <v>0</v>
      </c>
      <c r="R38" s="8" t="str" cm="1">
        <f t="array" ref="R38">_xlfn.TEXTJOIN("
",TRUE,_xlfn._xlws.FILTER('Outstanding Defect (PQ)'!G:G,'Outstanding Defect (PQ)'!B:B='Job Planning'!G38,""))</f>
        <v/>
      </c>
      <c r="S38" s="3"/>
      <c r="T38" s="30" t="str">
        <f>_xlfn.TEXTAFTER(G38,"-",-2)</f>
        <v>SAF-4296</v>
      </c>
      <c r="U38" s="1" t="str">
        <f>IF(_xlfn.XLOOKUP('Job Planning'!$G38,Search!B:B,Search!C:C,"",0)="","",_xlfn.XLOOKUP('Job Planning'!$G38,Search!B:B,Search!C:C,"",0))</f>
        <v/>
      </c>
      <c r="V38" s="1" t="str">
        <f>_xlfn.XLOOKUP('Job Planning'!$T38,Search!A:A,Search!C:C,"",0)</f>
        <v/>
      </c>
      <c r="W38" s="1" t="str">
        <f>_xlfn.XLOOKUP('Job Planning'!$B38,Search!B:B,Search!C:C,"",0)</f>
        <v/>
      </c>
    </row>
    <row r="39" spans="1:23" ht="14.4">
      <c r="A39" s="7" t="s">
        <v>19</v>
      </c>
      <c r="B39" s="7" t="s">
        <v>24</v>
      </c>
      <c r="C39" s="7" t="s">
        <v>8</v>
      </c>
      <c r="D39" s="6" t="str">
        <f>IF(AND('Job Planning'!$L39="",'Job Planning'!$O39=0)=TRUE,"Can Close","Can't")</f>
        <v>Can Close</v>
      </c>
      <c r="E39" s="6" t="str">
        <f>_xlfn.TEXTJOIN(", ",TRUE,IF(N39=0,"","Inspection"),IF('Job Planning'!$O39=0,"","Defect"))</f>
        <v/>
      </c>
      <c r="F39" s="21"/>
      <c r="G39" s="8" t="s">
        <v>326</v>
      </c>
      <c r="H39" s="7" t="s">
        <v>8</v>
      </c>
      <c r="I39" s="7" t="s">
        <v>8</v>
      </c>
      <c r="J39" s="7" t="s">
        <v>8</v>
      </c>
      <c r="K39" s="7" t="s">
        <v>8</v>
      </c>
      <c r="L39" s="19" t="str">
        <f>_xlfn.TEXTJOIN(", ",TRUE,
IF(ISNUMBER(MATCH('Job Planning'!$H39,{"To Be Signed","Started","Awaiting RFI","Outstanding","RFI Scheduled"},0)),"Stage 1",""),
IF(ISNUMBER(MATCH('Job Planning'!$I39,{"To Be Signed","Started","Awaiting RFI","Outstanding","RFI Scheduled"},0)),"Stage 2",""),
IF(ISNUMBER(MATCH('Job Planning'!$J39,{"To Be Signed","Started","Awaiting RFI","Outstanding","RFI Scheduled"},0)),"Stage 3",""),
IF(ISNUMBER(MATCH('Job Planning'!$K39,{"To Be Signed","Started","Awaiting RFI","Outstanding","RFI Scheduled"},0)),"Stage 4",""))</f>
        <v/>
      </c>
      <c r="M39" s="7">
        <f>4-COUNTIF('Job Planning'!$H39:$K39,"N/A")-_xlfn.LET(_xlpm.pending,LEN('Job Planning'!$L39)-LEN(SUBSTITUTE('Job Planning'!$L39,",",""))+1,IF('Job Planning'!$L39="",0,_xlpm.pending))</f>
        <v>4</v>
      </c>
      <c r="N39" s="7">
        <f>_xlfn.LET(_xlpm.pending,LEN('Job Planning'!$L39)-LEN(SUBSTITUTE('Job Planning'!$L39,",",""))+1,IF('Job Planning'!$L39="",0,_xlpm.pending))</f>
        <v>0</v>
      </c>
      <c r="O39" s="7">
        <f>SUM('Job Planning'!$P39:$Q39)</f>
        <v>0</v>
      </c>
      <c r="P39" s="7">
        <f>COUNTIFS('Defect List'!C:C,'Job Planning'!G39,'Defect List'!B:B,"Outstanding",'Defect List'!G:G,"Major")</f>
        <v>0</v>
      </c>
      <c r="Q39" s="7">
        <f>COUNTIFS('Defect List'!C:C,'Job Planning'!G39,'Defect List'!B:B,"Outstanding",'Defect List'!G:G,"Minor")</f>
        <v>0</v>
      </c>
      <c r="R39" s="8" t="str" cm="1">
        <f t="array" ref="R39">_xlfn.TEXTJOIN("
",TRUE,_xlfn._xlws.FILTER('Outstanding Defect (PQ)'!G:G,'Outstanding Defect (PQ)'!B:B='Job Planning'!G39,""))</f>
        <v/>
      </c>
      <c r="S39" s="3"/>
      <c r="T39" s="30" t="str">
        <f>_xlfn.TEXTAFTER(G39,"-",-2)</f>
        <v>GEN-4338</v>
      </c>
      <c r="U39" s="1" t="str">
        <f>IF(_xlfn.XLOOKUP('Job Planning'!$G39,Search!B:B,Search!C:C,"",0)="","",_xlfn.XLOOKUP('Job Planning'!$G39,Search!B:B,Search!C:C,"",0))</f>
        <v/>
      </c>
      <c r="V39" s="1" t="str">
        <f>_xlfn.XLOOKUP('Job Planning'!$T39,Search!A:A,Search!C:C,"",0)</f>
        <v/>
      </c>
      <c r="W39" s="1" t="str">
        <f>_xlfn.XLOOKUP('Job Planning'!$B39,Search!B:B,Search!C:C,"",0)</f>
        <v/>
      </c>
    </row>
    <row r="40" spans="1:23" ht="14.4">
      <c r="A40" s="7" t="s">
        <v>19</v>
      </c>
      <c r="B40" s="7" t="s">
        <v>25</v>
      </c>
      <c r="C40" s="7" t="s">
        <v>8</v>
      </c>
      <c r="D40" s="6" t="str">
        <f>IF(AND('Job Planning'!$L40="",'Job Planning'!$O40=0)=TRUE,"Can Close","Can't")</f>
        <v>Can Close</v>
      </c>
      <c r="E40" s="6" t="str">
        <f>_xlfn.TEXTJOIN(", ",TRUE,IF(N40=0,"","Inspection"),IF('Job Planning'!$O40=0,"","Defect"))</f>
        <v/>
      </c>
      <c r="F40" s="21"/>
      <c r="G40" s="8" t="s">
        <v>327</v>
      </c>
      <c r="H40" s="7" t="s">
        <v>8</v>
      </c>
      <c r="I40" s="7" t="s">
        <v>8</v>
      </c>
      <c r="J40" s="7" t="s">
        <v>8</v>
      </c>
      <c r="K40" s="7" t="s">
        <v>8</v>
      </c>
      <c r="L40" s="19" t="str">
        <f>_xlfn.TEXTJOIN(", ",TRUE,
IF(ISNUMBER(MATCH('Job Planning'!$H40,{"To Be Signed","Started","Awaiting RFI","Outstanding","RFI Scheduled"},0)),"Stage 1",""),
IF(ISNUMBER(MATCH('Job Planning'!$I40,{"To Be Signed","Started","Awaiting RFI","Outstanding","RFI Scheduled"},0)),"Stage 2",""),
IF(ISNUMBER(MATCH('Job Planning'!$J40,{"To Be Signed","Started","Awaiting RFI","Outstanding","RFI Scheduled"},0)),"Stage 3",""),
IF(ISNUMBER(MATCH('Job Planning'!$K40,{"To Be Signed","Started","Awaiting RFI","Outstanding","RFI Scheduled"},0)),"Stage 4",""))</f>
        <v/>
      </c>
      <c r="M40" s="7">
        <f>4-COUNTIF('Job Planning'!$H40:$K40,"N/A")-_xlfn.LET(_xlpm.pending,LEN('Job Planning'!$L40)-LEN(SUBSTITUTE('Job Planning'!$L40,",",""))+1,IF('Job Planning'!$L40="",0,_xlpm.pending))</f>
        <v>4</v>
      </c>
      <c r="N40" s="7">
        <f>_xlfn.LET(_xlpm.pending,LEN('Job Planning'!$L40)-LEN(SUBSTITUTE('Job Planning'!$L40,",",""))+1,IF('Job Planning'!$L40="",0,_xlpm.pending))</f>
        <v>0</v>
      </c>
      <c r="O40" s="7">
        <f>SUM('Job Planning'!$P40:$Q40)</f>
        <v>0</v>
      </c>
      <c r="P40" s="7">
        <f>COUNTIFS('Defect List'!C:C,'Job Planning'!G40,'Defect List'!B:B,"Outstanding",'Defect List'!G:G,"Major")</f>
        <v>0</v>
      </c>
      <c r="Q40" s="7">
        <f>COUNTIFS('Defect List'!C:C,'Job Planning'!G40,'Defect List'!B:B,"Outstanding",'Defect List'!G:G,"Minor")</f>
        <v>0</v>
      </c>
      <c r="R40" s="8" t="str" cm="1">
        <f t="array" ref="R40">_xlfn.TEXTJOIN("
",TRUE,_xlfn._xlws.FILTER('Outstanding Defect (PQ)'!G:G,'Outstanding Defect (PQ)'!B:B='Job Planning'!G40,""))</f>
        <v/>
      </c>
      <c r="S40" s="3"/>
      <c r="T40" s="30" t="str">
        <f>_xlfn.TEXTAFTER(G40,"-",-2)</f>
        <v>GEN-4298</v>
      </c>
      <c r="U40" s="1" t="str">
        <f>IF(_xlfn.XLOOKUP('Job Planning'!$G40,Search!B:B,Search!C:C,"",0)="","",_xlfn.XLOOKUP('Job Planning'!$G40,Search!B:B,Search!C:C,"",0))</f>
        <v/>
      </c>
      <c r="V40" s="1" t="str">
        <f>_xlfn.XLOOKUP('Job Planning'!$T40,Search!A:A,Search!C:C,"",0)</f>
        <v/>
      </c>
      <c r="W40" s="1" t="str">
        <f>_xlfn.XLOOKUP('Job Planning'!$B40,Search!B:B,Search!C:C,"",0)</f>
        <v/>
      </c>
    </row>
    <row r="41" spans="1:23" ht="14.4">
      <c r="A41" s="7" t="s">
        <v>19</v>
      </c>
      <c r="B41" s="7" t="s">
        <v>26</v>
      </c>
      <c r="C41" s="7" t="s">
        <v>8</v>
      </c>
      <c r="D41" s="6" t="str">
        <f>IF(AND('Job Planning'!$L41="",'Job Planning'!$O41=0)=TRUE,"Can Close","Can't")</f>
        <v>Can Close</v>
      </c>
      <c r="E41" s="6" t="str">
        <f>_xlfn.TEXTJOIN(", ",TRUE,IF(N41=0,"","Inspection"),IF('Job Planning'!$O41=0,"","Defect"))</f>
        <v/>
      </c>
      <c r="F41" s="21"/>
      <c r="G41" s="8" t="s">
        <v>295</v>
      </c>
      <c r="H41" s="7" t="s">
        <v>8</v>
      </c>
      <c r="I41" s="7" t="s">
        <v>8</v>
      </c>
      <c r="J41" s="7" t="s">
        <v>8</v>
      </c>
      <c r="K41" s="7" t="s">
        <v>8</v>
      </c>
      <c r="L41" s="19" t="str">
        <f>_xlfn.TEXTJOIN(", ",TRUE,
IF(ISNUMBER(MATCH('Job Planning'!$H41,{"To Be Signed","Started","Awaiting RFI","Outstanding","RFI Scheduled"},0)),"Stage 1",""),
IF(ISNUMBER(MATCH('Job Planning'!$I41,{"To Be Signed","Started","Awaiting RFI","Outstanding","RFI Scheduled"},0)),"Stage 2",""),
IF(ISNUMBER(MATCH('Job Planning'!$J41,{"To Be Signed","Started","Awaiting RFI","Outstanding","RFI Scheduled"},0)),"Stage 3",""),
IF(ISNUMBER(MATCH('Job Planning'!$K41,{"To Be Signed","Started","Awaiting RFI","Outstanding","RFI Scheduled"},0)),"Stage 4",""))</f>
        <v/>
      </c>
      <c r="M41" s="7">
        <f>4-COUNTIF('Job Planning'!$H41:$K41,"N/A")-_xlfn.LET(_xlpm.pending,LEN('Job Planning'!$L41)-LEN(SUBSTITUTE('Job Planning'!$L41,",",""))+1,IF('Job Planning'!$L41="",0,_xlpm.pending))</f>
        <v>4</v>
      </c>
      <c r="N41" s="7">
        <f>_xlfn.LET(_xlpm.pending,LEN('Job Planning'!$L41)-LEN(SUBSTITUTE('Job Planning'!$L41,",",""))+1,IF('Job Planning'!$L41="",0,_xlpm.pending))</f>
        <v>0</v>
      </c>
      <c r="O41" s="7">
        <f>SUM('Job Planning'!$P41:$Q41)</f>
        <v>0</v>
      </c>
      <c r="P41" s="7">
        <f>COUNTIFS('Defect List'!C:C,'Job Planning'!G41,'Defect List'!B:B,"Outstanding",'Defect List'!G:G,"Major")</f>
        <v>0</v>
      </c>
      <c r="Q41" s="7">
        <f>COUNTIFS('Defect List'!C:C,'Job Planning'!G41,'Defect List'!B:B,"Outstanding",'Defect List'!G:G,"Minor")</f>
        <v>0</v>
      </c>
      <c r="R41" s="8" t="str" cm="1">
        <f t="array" ref="R41">_xlfn.TEXTJOIN("
",TRUE,_xlfn._xlws.FILTER('Outstanding Defect (PQ)'!G:G,'Outstanding Defect (PQ)'!B:B='Job Planning'!G41,""))</f>
        <v/>
      </c>
      <c r="S41" s="3"/>
      <c r="T41" s="30" t="str">
        <f>_xlfn.TEXTAFTER(G41,"-",-2)</f>
        <v>CIV-4305</v>
      </c>
      <c r="U41" s="1" t="str">
        <f>IF(_xlfn.XLOOKUP('Job Planning'!$G41,Search!B:B,Search!C:C,"",0)="","",_xlfn.XLOOKUP('Job Planning'!$G41,Search!B:B,Search!C:C,"",0))</f>
        <v/>
      </c>
      <c r="V41" s="1" t="str">
        <f>_xlfn.XLOOKUP('Job Planning'!$T41,Search!A:A,Search!C:C,"",0)</f>
        <v/>
      </c>
      <c r="W41" s="1" t="str">
        <f>_xlfn.XLOOKUP('Job Planning'!$B41,Search!B:B,Search!C:C,"",0)</f>
        <v/>
      </c>
    </row>
    <row r="42" spans="1:23" ht="14.4">
      <c r="A42" s="7" t="s">
        <v>19</v>
      </c>
      <c r="B42" s="7" t="s">
        <v>27</v>
      </c>
      <c r="C42" s="7" t="s">
        <v>8</v>
      </c>
      <c r="D42" s="6" t="str">
        <f>IF(AND('Job Planning'!$L42="",'Job Planning'!$O42=0)=TRUE,"Can Close","Can't")</f>
        <v>Can Close</v>
      </c>
      <c r="E42" s="6" t="str">
        <f>_xlfn.TEXTJOIN(", ",TRUE,IF(N42=0,"","Inspection"),IF('Job Planning'!$O42=0,"","Defect"))</f>
        <v/>
      </c>
      <c r="F42" s="21"/>
      <c r="G42" s="8" t="s">
        <v>328</v>
      </c>
      <c r="H42" s="7" t="s">
        <v>8</v>
      </c>
      <c r="I42" s="7" t="s">
        <v>8</v>
      </c>
      <c r="J42" s="7" t="s">
        <v>8</v>
      </c>
      <c r="K42" s="7" t="s">
        <v>8</v>
      </c>
      <c r="L42" s="19" t="str">
        <f>_xlfn.TEXTJOIN(", ",TRUE,
IF(ISNUMBER(MATCH('Job Planning'!$H42,{"To Be Signed","Started","Awaiting RFI","Outstanding","RFI Scheduled"},0)),"Stage 1",""),
IF(ISNUMBER(MATCH('Job Planning'!$I42,{"To Be Signed","Started","Awaiting RFI","Outstanding","RFI Scheduled"},0)),"Stage 2",""),
IF(ISNUMBER(MATCH('Job Planning'!$J42,{"To Be Signed","Started","Awaiting RFI","Outstanding","RFI Scheduled"},0)),"Stage 3",""),
IF(ISNUMBER(MATCH('Job Planning'!$K42,{"To Be Signed","Started","Awaiting RFI","Outstanding","RFI Scheduled"},0)),"Stage 4",""))</f>
        <v/>
      </c>
      <c r="M42" s="7">
        <f>4-COUNTIF('Job Planning'!$H42:$K42,"N/A")-_xlfn.LET(_xlpm.pending,LEN('Job Planning'!$L42)-LEN(SUBSTITUTE('Job Planning'!$L42,",",""))+1,IF('Job Planning'!$L42="",0,_xlpm.pending))</f>
        <v>4</v>
      </c>
      <c r="N42" s="7">
        <f>_xlfn.LET(_xlpm.pending,LEN('Job Planning'!$L42)-LEN(SUBSTITUTE('Job Planning'!$L42,",",""))+1,IF('Job Planning'!$L42="",0,_xlpm.pending))</f>
        <v>0</v>
      </c>
      <c r="O42" s="7">
        <f>SUM('Job Planning'!$P42:$Q42)</f>
        <v>0</v>
      </c>
      <c r="P42" s="7">
        <f>COUNTIFS('Defect List'!C:C,'Job Planning'!G42,'Defect List'!B:B,"Outstanding",'Defect List'!G:G,"Major")</f>
        <v>0</v>
      </c>
      <c r="Q42" s="7">
        <f>COUNTIFS('Defect List'!C:C,'Job Planning'!G42,'Defect List'!B:B,"Outstanding",'Defect List'!G:G,"Minor")</f>
        <v>0</v>
      </c>
      <c r="R42" s="8" t="str" cm="1">
        <f t="array" ref="R42">_xlfn.TEXTJOIN("
",TRUE,_xlfn._xlws.FILTER('Outstanding Defect (PQ)'!G:G,'Outstanding Defect (PQ)'!B:B='Job Planning'!G42,""))</f>
        <v/>
      </c>
      <c r="S42" s="3"/>
      <c r="T42" s="30" t="str">
        <f>_xlfn.TEXTAFTER(G42,"-",-2)</f>
        <v>CIV-4266</v>
      </c>
      <c r="U42" s="1" t="str">
        <f>IF(_xlfn.XLOOKUP('Job Planning'!$G42,Search!B:B,Search!C:C,"",0)="","",_xlfn.XLOOKUP('Job Planning'!$G42,Search!B:B,Search!C:C,"",0))</f>
        <v/>
      </c>
      <c r="V42" s="1" t="str">
        <f>_xlfn.XLOOKUP('Job Planning'!$T42,Search!A:A,Search!C:C,"",0)</f>
        <v/>
      </c>
      <c r="W42" s="1" t="str">
        <f>_xlfn.XLOOKUP('Job Planning'!$B42,Search!B:B,Search!C:C,"",0)</f>
        <v/>
      </c>
    </row>
    <row r="43" spans="1:23" ht="14.4">
      <c r="A43" s="7" t="s">
        <v>19</v>
      </c>
      <c r="B43" s="7" t="s">
        <v>28</v>
      </c>
      <c r="C43" s="7" t="s">
        <v>8</v>
      </c>
      <c r="D43" s="6" t="str">
        <f>IF(AND('Job Planning'!$L43="",'Job Planning'!$O43=0)=TRUE,"Can Close","Can't")</f>
        <v>Can Close</v>
      </c>
      <c r="E43" s="6" t="str">
        <f>_xlfn.TEXTJOIN(", ",TRUE,IF(N43=0,"","Inspection"),IF('Job Planning'!$O43=0,"","Defect"))</f>
        <v/>
      </c>
      <c r="F43" s="21"/>
      <c r="G43" s="8" t="s">
        <v>302</v>
      </c>
      <c r="H43" s="7" t="s">
        <v>8</v>
      </c>
      <c r="I43" s="7" t="s">
        <v>8</v>
      </c>
      <c r="J43" s="7" t="s">
        <v>8</v>
      </c>
      <c r="K43" s="7" t="s">
        <v>8</v>
      </c>
      <c r="L43" s="19" t="str">
        <f>_xlfn.TEXTJOIN(", ",TRUE,
IF(ISNUMBER(MATCH('Job Planning'!$H43,{"To Be Signed","Started","Awaiting RFI","Outstanding","RFI Scheduled"},0)),"Stage 1",""),
IF(ISNUMBER(MATCH('Job Planning'!$I43,{"To Be Signed","Started","Awaiting RFI","Outstanding","RFI Scheduled"},0)),"Stage 2",""),
IF(ISNUMBER(MATCH('Job Planning'!$J43,{"To Be Signed","Started","Awaiting RFI","Outstanding","RFI Scheduled"},0)),"Stage 3",""),
IF(ISNUMBER(MATCH('Job Planning'!$K43,{"To Be Signed","Started","Awaiting RFI","Outstanding","RFI Scheduled"},0)),"Stage 4",""))</f>
        <v/>
      </c>
      <c r="M43" s="7">
        <f>4-COUNTIF('Job Planning'!$H43:$K43,"N/A")-_xlfn.LET(_xlpm.pending,LEN('Job Planning'!$L43)-LEN(SUBSTITUTE('Job Planning'!$L43,",",""))+1,IF('Job Planning'!$L43="",0,_xlpm.pending))</f>
        <v>4</v>
      </c>
      <c r="N43" s="7">
        <f>_xlfn.LET(_xlpm.pending,LEN('Job Planning'!$L43)-LEN(SUBSTITUTE('Job Planning'!$L43,",",""))+1,IF('Job Planning'!$L43="",0,_xlpm.pending))</f>
        <v>0</v>
      </c>
      <c r="O43" s="7">
        <f>SUM('Job Planning'!$P43:$Q43)</f>
        <v>0</v>
      </c>
      <c r="P43" s="7">
        <f>COUNTIFS('Defect List'!C:C,'Job Planning'!G43,'Defect List'!B:B,"Outstanding",'Defect List'!G:G,"Major")</f>
        <v>0</v>
      </c>
      <c r="Q43" s="7">
        <f>COUNTIFS('Defect List'!C:C,'Job Planning'!G43,'Defect List'!B:B,"Outstanding",'Defect List'!G:G,"Minor")</f>
        <v>0</v>
      </c>
      <c r="R43" s="8" t="str" cm="1">
        <f t="array" ref="R43">_xlfn.TEXTJOIN("
",TRUE,_xlfn._xlws.FILTER('Outstanding Defect (PQ)'!G:G,'Outstanding Defect (PQ)'!B:B='Job Planning'!G43,""))</f>
        <v/>
      </c>
      <c r="S43" s="3"/>
      <c r="T43" s="30" t="str">
        <f>_xlfn.TEXTAFTER(G43,"-",-2)</f>
        <v>PLMB-4267</v>
      </c>
      <c r="U43" s="1" t="str">
        <f>IF(_xlfn.XLOOKUP('Job Planning'!$G43,Search!B:B,Search!C:C,"",0)="","",_xlfn.XLOOKUP('Job Planning'!$G43,Search!B:B,Search!C:C,"",0))</f>
        <v/>
      </c>
      <c r="V43" s="1" t="str">
        <f>_xlfn.XLOOKUP('Job Planning'!$T43,Search!A:A,Search!C:C,"",0)</f>
        <v/>
      </c>
      <c r="W43" s="1" t="str">
        <f>_xlfn.XLOOKUP('Job Planning'!$B43,Search!B:B,Search!C:C,"",0)</f>
        <v/>
      </c>
    </row>
    <row r="44" spans="1:23" ht="14.4">
      <c r="A44" s="7" t="s">
        <v>19</v>
      </c>
      <c r="B44" s="7" t="s">
        <v>29</v>
      </c>
      <c r="C44" s="7" t="s">
        <v>8</v>
      </c>
      <c r="D44" s="6" t="str">
        <f>IF(AND('Job Planning'!$L44="",'Job Planning'!$O44=0)=TRUE,"Can Close","Can't")</f>
        <v>Can Close</v>
      </c>
      <c r="E44" s="6" t="str">
        <f>_xlfn.TEXTJOIN(", ",TRUE,IF(N44=0,"","Inspection"),IF('Job Planning'!$O44=0,"","Defect"))</f>
        <v/>
      </c>
      <c r="F44" s="21"/>
      <c r="G44" s="8" t="s">
        <v>297</v>
      </c>
      <c r="H44" s="7" t="s">
        <v>8</v>
      </c>
      <c r="I44" s="7" t="s">
        <v>8</v>
      </c>
      <c r="J44" s="7" t="s">
        <v>8</v>
      </c>
      <c r="K44" s="7" t="s">
        <v>8</v>
      </c>
      <c r="L44" s="19" t="str">
        <f>_xlfn.TEXTJOIN(", ",TRUE,
IF(ISNUMBER(MATCH('Job Planning'!$H44,{"To Be Signed","Started","Awaiting RFI","Outstanding","RFI Scheduled"},0)),"Stage 1",""),
IF(ISNUMBER(MATCH('Job Planning'!$I44,{"To Be Signed","Started","Awaiting RFI","Outstanding","RFI Scheduled"},0)),"Stage 2",""),
IF(ISNUMBER(MATCH('Job Planning'!$J44,{"To Be Signed","Started","Awaiting RFI","Outstanding","RFI Scheduled"},0)),"Stage 3",""),
IF(ISNUMBER(MATCH('Job Planning'!$K44,{"To Be Signed","Started","Awaiting RFI","Outstanding","RFI Scheduled"},0)),"Stage 4",""))</f>
        <v/>
      </c>
      <c r="M44" s="7">
        <f>4-COUNTIF('Job Planning'!$H44:$K44,"N/A")-_xlfn.LET(_xlpm.pending,LEN('Job Planning'!$L44)-LEN(SUBSTITUTE('Job Planning'!$L44,",",""))+1,IF('Job Planning'!$L44="",0,_xlpm.pending))</f>
        <v>4</v>
      </c>
      <c r="N44" s="7">
        <f>_xlfn.LET(_xlpm.pending,LEN('Job Planning'!$L44)-LEN(SUBSTITUTE('Job Planning'!$L44,",",""))+1,IF('Job Planning'!$L44="",0,_xlpm.pending))</f>
        <v>0</v>
      </c>
      <c r="O44" s="7">
        <f>SUM('Job Planning'!$P44:$Q44)</f>
        <v>0</v>
      </c>
      <c r="P44" s="7">
        <f>COUNTIFS('Defect List'!C:C,'Job Planning'!G44,'Defect List'!B:B,"Outstanding",'Defect List'!G:G,"Major")</f>
        <v>0</v>
      </c>
      <c r="Q44" s="7">
        <f>COUNTIFS('Defect List'!C:C,'Job Planning'!G44,'Defect List'!B:B,"Outstanding",'Defect List'!G:G,"Minor")</f>
        <v>0</v>
      </c>
      <c r="R44" s="8" t="str" cm="1">
        <f t="array" ref="R44">_xlfn.TEXTJOIN("
",TRUE,_xlfn._xlws.FILTER('Outstanding Defect (PQ)'!G:G,'Outstanding Defect (PQ)'!B:B='Job Planning'!G44,""))</f>
        <v/>
      </c>
      <c r="S44" s="3"/>
      <c r="T44" s="30" t="str">
        <f>_xlfn.TEXTAFTER(G44,"-",-2)</f>
        <v>HVAC-4328</v>
      </c>
      <c r="U44" s="1" t="str">
        <f>IF(_xlfn.XLOOKUP('Job Planning'!$G44,Search!B:B,Search!C:C,"",0)="","",_xlfn.XLOOKUP('Job Planning'!$G44,Search!B:B,Search!C:C,"",0))</f>
        <v/>
      </c>
      <c r="V44" s="1" t="str">
        <f>_xlfn.XLOOKUP('Job Planning'!$T44,Search!A:A,Search!C:C,"",0)</f>
        <v/>
      </c>
      <c r="W44" s="1" t="str">
        <f>_xlfn.XLOOKUP('Job Planning'!$B44,Search!B:B,Search!C:C,"",0)</f>
        <v/>
      </c>
    </row>
    <row r="45" spans="1:23" ht="14.4">
      <c r="A45" s="7" t="s">
        <v>19</v>
      </c>
      <c r="B45" s="7" t="s">
        <v>30</v>
      </c>
      <c r="C45" s="7" t="s">
        <v>8</v>
      </c>
      <c r="D45" s="6" t="str">
        <f>IF(AND('Job Planning'!$L45="",'Job Planning'!$O45=0)=TRUE,"Can Close","Can't")</f>
        <v>Can Close</v>
      </c>
      <c r="E45" s="6" t="str">
        <f>_xlfn.TEXTJOIN(", ",TRUE,IF(N45=0,"","Inspection"),IF('Job Planning'!$O45=0,"","Defect"))</f>
        <v/>
      </c>
      <c r="F45" s="21"/>
      <c r="G45" s="8" t="s">
        <v>329</v>
      </c>
      <c r="H45" s="7" t="s">
        <v>8</v>
      </c>
      <c r="I45" s="7" t="s">
        <v>8</v>
      </c>
      <c r="J45" s="7" t="s">
        <v>8</v>
      </c>
      <c r="K45" s="7" t="s">
        <v>8</v>
      </c>
      <c r="L45" s="19" t="str">
        <f>_xlfn.TEXTJOIN(", ",TRUE,
IF(ISNUMBER(MATCH('Job Planning'!$H45,{"To Be Signed","Started","Awaiting RFI","Outstanding","RFI Scheduled"},0)),"Stage 1",""),
IF(ISNUMBER(MATCH('Job Planning'!$I45,{"To Be Signed","Started","Awaiting RFI","Outstanding","RFI Scheduled"},0)),"Stage 2",""),
IF(ISNUMBER(MATCH('Job Planning'!$J45,{"To Be Signed","Started","Awaiting RFI","Outstanding","RFI Scheduled"},0)),"Stage 3",""),
IF(ISNUMBER(MATCH('Job Planning'!$K45,{"To Be Signed","Started","Awaiting RFI","Outstanding","RFI Scheduled"},0)),"Stage 4",""))</f>
        <v/>
      </c>
      <c r="M45" s="7">
        <f>4-COUNTIF('Job Planning'!$H45:$K45,"N/A")-_xlfn.LET(_xlpm.pending,LEN('Job Planning'!$L45)-LEN(SUBSTITUTE('Job Planning'!$L45,",",""))+1,IF('Job Planning'!$L45="",0,_xlpm.pending))</f>
        <v>4</v>
      </c>
      <c r="N45" s="7">
        <f>_xlfn.LET(_xlpm.pending,LEN('Job Planning'!$L45)-LEN(SUBSTITUTE('Job Planning'!$L45,",",""))+1,IF('Job Planning'!$L45="",0,_xlpm.pending))</f>
        <v>0</v>
      </c>
      <c r="O45" s="7">
        <f>SUM('Job Planning'!$P45:$Q45)</f>
        <v>0</v>
      </c>
      <c r="P45" s="7">
        <f>COUNTIFS('Defect List'!C:C,'Job Planning'!G45,'Defect List'!B:B,"Outstanding",'Defect List'!G:G,"Major")</f>
        <v>0</v>
      </c>
      <c r="Q45" s="7">
        <f>COUNTIFS('Defect List'!C:C,'Job Planning'!G45,'Defect List'!B:B,"Outstanding",'Defect List'!G:G,"Minor")</f>
        <v>0</v>
      </c>
      <c r="R45" s="8" t="str" cm="1">
        <f t="array" ref="R45">_xlfn.TEXTJOIN("
",TRUE,_xlfn._xlws.FILTER('Outstanding Defect (PQ)'!G:G,'Outstanding Defect (PQ)'!B:B='Job Planning'!G45,""))</f>
        <v/>
      </c>
      <c r="S45" s="3"/>
      <c r="T45" s="30" t="str">
        <f>_xlfn.TEXTAFTER(G45,"-",-2)</f>
        <v>CTRL-4320</v>
      </c>
      <c r="U45" s="1" t="str">
        <f>IF(_xlfn.XLOOKUP('Job Planning'!$G45,Search!B:B,Search!C:C,"",0)="","",_xlfn.XLOOKUP('Job Planning'!$G45,Search!B:B,Search!C:C,"",0))</f>
        <v/>
      </c>
      <c r="V45" s="1" t="str">
        <f>_xlfn.XLOOKUP('Job Planning'!$T45,Search!A:A,Search!C:C,"",0)</f>
        <v/>
      </c>
      <c r="W45" s="1" t="str">
        <f>_xlfn.XLOOKUP('Job Planning'!$B45,Search!B:B,Search!C:C,"",0)</f>
        <v/>
      </c>
    </row>
    <row r="46" spans="1:23" ht="14.4">
      <c r="A46" s="7" t="s">
        <v>19</v>
      </c>
      <c r="B46" s="7" t="s">
        <v>31</v>
      </c>
      <c r="C46" s="7" t="s">
        <v>8</v>
      </c>
      <c r="D46" s="6" t="str">
        <f>IF(AND('Job Planning'!$L46="",'Job Planning'!$O46=0)=TRUE,"Can Close","Can't")</f>
        <v>Can Close</v>
      </c>
      <c r="E46" s="6" t="str">
        <f>_xlfn.TEXTJOIN(", ",TRUE,IF(N46=0,"","Inspection"),IF('Job Planning'!$O46=0,"","Defect"))</f>
        <v/>
      </c>
      <c r="F46" s="21"/>
      <c r="G46" s="8" t="s">
        <v>330</v>
      </c>
      <c r="H46" s="7" t="s">
        <v>8</v>
      </c>
      <c r="I46" s="7" t="s">
        <v>8</v>
      </c>
      <c r="J46" s="7" t="s">
        <v>8</v>
      </c>
      <c r="K46" s="7" t="s">
        <v>8</v>
      </c>
      <c r="L46" s="19" t="str">
        <f>_xlfn.TEXTJOIN(", ",TRUE,
IF(ISNUMBER(MATCH('Job Planning'!$H46,{"To Be Signed","Started","Awaiting RFI","Outstanding","RFI Scheduled"},0)),"Stage 1",""),
IF(ISNUMBER(MATCH('Job Planning'!$I46,{"To Be Signed","Started","Awaiting RFI","Outstanding","RFI Scheduled"},0)),"Stage 2",""),
IF(ISNUMBER(MATCH('Job Planning'!$J46,{"To Be Signed","Started","Awaiting RFI","Outstanding","RFI Scheduled"},0)),"Stage 3",""),
IF(ISNUMBER(MATCH('Job Planning'!$K46,{"To Be Signed","Started","Awaiting RFI","Outstanding","RFI Scheduled"},0)),"Stage 4",""))</f>
        <v/>
      </c>
      <c r="M46" s="7">
        <f>4-COUNTIF('Job Planning'!$H46:$K46,"N/A")-_xlfn.LET(_xlpm.pending,LEN('Job Planning'!$L46)-LEN(SUBSTITUTE('Job Planning'!$L46,",",""))+1,IF('Job Planning'!$L46="",0,_xlpm.pending))</f>
        <v>4</v>
      </c>
      <c r="N46" s="7">
        <f>_xlfn.LET(_xlpm.pending,LEN('Job Planning'!$L46)-LEN(SUBSTITUTE('Job Planning'!$L46,",",""))+1,IF('Job Planning'!$L46="",0,_xlpm.pending))</f>
        <v>0</v>
      </c>
      <c r="O46" s="7">
        <f>SUM('Job Planning'!$P46:$Q46)</f>
        <v>0</v>
      </c>
      <c r="P46" s="7">
        <f>COUNTIFS('Defect List'!C:C,'Job Planning'!G46,'Defect List'!B:B,"Outstanding",'Defect List'!G:G,"Major")</f>
        <v>0</v>
      </c>
      <c r="Q46" s="7">
        <f>COUNTIFS('Defect List'!C:C,'Job Planning'!G46,'Defect List'!B:B,"Outstanding",'Defect List'!G:G,"Minor")</f>
        <v>0</v>
      </c>
      <c r="R46" s="8" t="str" cm="1">
        <f t="array" ref="R46">_xlfn.TEXTJOIN("
",TRUE,_xlfn._xlws.FILTER('Outstanding Defect (PQ)'!G:G,'Outstanding Defect (PQ)'!B:B='Job Planning'!G46,""))</f>
        <v/>
      </c>
      <c r="S46" s="3"/>
      <c r="T46" s="30" t="str">
        <f>_xlfn.TEXTAFTER(G46,"-",-2)</f>
        <v>PWR-4262B</v>
      </c>
      <c r="U46" s="1" t="str">
        <f>IF(_xlfn.XLOOKUP('Job Planning'!$G46,Search!B:B,Search!C:C,"",0)="","",_xlfn.XLOOKUP('Job Planning'!$G46,Search!B:B,Search!C:C,"",0))</f>
        <v/>
      </c>
      <c r="V46" s="1" t="str">
        <f>_xlfn.XLOOKUP('Job Planning'!$T46,Search!A:A,Search!C:C,"",0)</f>
        <v/>
      </c>
      <c r="W46" s="1" t="str">
        <f>_xlfn.XLOOKUP('Job Planning'!$B46,Search!B:B,Search!C:C,"",0)</f>
        <v/>
      </c>
    </row>
    <row r="47" spans="1:23" ht="14.4">
      <c r="A47" s="7" t="s">
        <v>13</v>
      </c>
      <c r="B47" s="7" t="s">
        <v>71</v>
      </c>
      <c r="C47" s="7" t="s">
        <v>8</v>
      </c>
      <c r="D47" s="6" t="str">
        <f>IF(AND('Job Planning'!$L47="",'Job Planning'!$O47=0)=TRUE,"Can Close","Can't")</f>
        <v>Can Close</v>
      </c>
      <c r="E47" s="6" t="str">
        <f>_xlfn.TEXTJOIN(", ",TRUE,IF(N47=0,"","Inspection"),IF('Job Planning'!$O47=0,"","Defect"))</f>
        <v/>
      </c>
      <c r="F47" s="21"/>
      <c r="G47" s="8" t="s">
        <v>331</v>
      </c>
      <c r="H47" s="7" t="s">
        <v>8</v>
      </c>
      <c r="I47" s="7" t="s">
        <v>8</v>
      </c>
      <c r="J47" s="7" t="s">
        <v>8</v>
      </c>
      <c r="K47" s="7" t="s">
        <v>8</v>
      </c>
      <c r="L47" s="19" t="str">
        <f>_xlfn.TEXTJOIN(", ",TRUE,
IF(ISNUMBER(MATCH('Job Planning'!$H47,{"To Be Signed","Started","Awaiting RFI","Outstanding","RFI Scheduled"},0)),"Stage 1",""),
IF(ISNUMBER(MATCH('Job Planning'!$I47,{"To Be Signed","Started","Awaiting RFI","Outstanding","RFI Scheduled"},0)),"Stage 2",""),
IF(ISNUMBER(MATCH('Job Planning'!$J47,{"To Be Signed","Started","Awaiting RFI","Outstanding","RFI Scheduled"},0)),"Stage 3",""),
IF(ISNUMBER(MATCH('Job Planning'!$K47,{"To Be Signed","Started","Awaiting RFI","Outstanding","RFI Scheduled"},0)),"Stage 4",""))</f>
        <v/>
      </c>
      <c r="M47" s="7">
        <f>4-COUNTIF('Job Planning'!$H47:$K47,"N/A")-_xlfn.LET(_xlpm.pending,LEN('Job Planning'!$L47)-LEN(SUBSTITUTE('Job Planning'!$L47,",",""))+1,IF('Job Planning'!$L47="",0,_xlpm.pending))</f>
        <v>4</v>
      </c>
      <c r="N47" s="7">
        <f>_xlfn.LET(_xlpm.pending,LEN('Job Planning'!$L47)-LEN(SUBSTITUTE('Job Planning'!$L47,",",""))+1,IF('Job Planning'!$L47="",0,_xlpm.pending))</f>
        <v>0</v>
      </c>
      <c r="O47" s="7">
        <f>SUM('Job Planning'!$P47:$Q47)</f>
        <v>0</v>
      </c>
      <c r="P47" s="7">
        <f>COUNTIFS('Defect List'!C:C,'Job Planning'!G47,'Defect List'!B:B,"Outstanding",'Defect List'!G:G,"Major")</f>
        <v>0</v>
      </c>
      <c r="Q47" s="7">
        <f>COUNTIFS('Defect List'!C:C,'Job Planning'!G47,'Defect List'!B:B,"Outstanding",'Defect List'!G:G,"Minor")</f>
        <v>0</v>
      </c>
      <c r="R47" s="8" t="str" cm="1">
        <f t="array" ref="R47">_xlfn.TEXTJOIN("
",TRUE,_xlfn._xlws.FILTER('Outstanding Defect (PQ)'!G:G,'Outstanding Defect (PQ)'!B:B='Job Planning'!G47,""))</f>
        <v/>
      </c>
      <c r="S47" s="3"/>
      <c r="T47" s="30" t="str">
        <f>_xlfn.TEXTAFTER(G47,"-",-2)</f>
        <v>CIV-8215A</v>
      </c>
      <c r="U47" s="1" t="str">
        <f>IF(_xlfn.XLOOKUP('Job Planning'!$G47,Search!B:B,Search!C:C,"",0)="","",_xlfn.XLOOKUP('Job Planning'!$G47,Search!B:B,Search!C:C,"",0))</f>
        <v/>
      </c>
      <c r="V47" s="1" t="str">
        <f>_xlfn.XLOOKUP('Job Planning'!$T47,Search!A:A,Search!C:C,"",0)</f>
        <v/>
      </c>
      <c r="W47" s="1" t="str">
        <f>_xlfn.XLOOKUP('Job Planning'!$B47,Search!B:B,Search!C:C,"",0)</f>
        <v/>
      </c>
    </row>
    <row r="48" spans="1:23" ht="14.4">
      <c r="A48" s="7" t="s">
        <v>13</v>
      </c>
      <c r="B48" s="7" t="s">
        <v>72</v>
      </c>
      <c r="C48" s="7" t="s">
        <v>8</v>
      </c>
      <c r="D48" s="6" t="str">
        <f>IF(AND('Job Planning'!$L48="",'Job Planning'!$O48=0)=TRUE,"Can Close","Can't")</f>
        <v>Can Close</v>
      </c>
      <c r="E48" s="6" t="str">
        <f>_xlfn.TEXTJOIN(", ",TRUE,IF(N48=0,"","Inspection"),IF('Job Planning'!$O48=0,"","Defect"))</f>
        <v/>
      </c>
      <c r="F48" s="21"/>
      <c r="G48" s="8" t="s">
        <v>332</v>
      </c>
      <c r="H48" s="7" t="s">
        <v>8</v>
      </c>
      <c r="I48" s="7" t="s">
        <v>8</v>
      </c>
      <c r="J48" s="7" t="s">
        <v>8</v>
      </c>
      <c r="K48" s="7" t="s">
        <v>8</v>
      </c>
      <c r="L48" s="19" t="str">
        <f>_xlfn.TEXTJOIN(", ",TRUE,
IF(ISNUMBER(MATCH('Job Planning'!$H48,{"To Be Signed","Started","Awaiting RFI","Outstanding","RFI Scheduled"},0)),"Stage 1",""),
IF(ISNUMBER(MATCH('Job Planning'!$I48,{"To Be Signed","Started","Awaiting RFI","Outstanding","RFI Scheduled"},0)),"Stage 2",""),
IF(ISNUMBER(MATCH('Job Planning'!$J48,{"To Be Signed","Started","Awaiting RFI","Outstanding","RFI Scheduled"},0)),"Stage 3",""),
IF(ISNUMBER(MATCH('Job Planning'!$K48,{"To Be Signed","Started","Awaiting RFI","Outstanding","RFI Scheduled"},0)),"Stage 4",""))</f>
        <v/>
      </c>
      <c r="M48" s="7">
        <f>4-COUNTIF('Job Planning'!$H48:$K48,"N/A")-_xlfn.LET(_xlpm.pending,LEN('Job Planning'!$L48)-LEN(SUBSTITUTE('Job Planning'!$L48,",",""))+1,IF('Job Planning'!$L48="",0,_xlpm.pending))</f>
        <v>4</v>
      </c>
      <c r="N48" s="7">
        <f>_xlfn.LET(_xlpm.pending,LEN('Job Planning'!$L48)-LEN(SUBSTITUTE('Job Planning'!$L48,",",""))+1,IF('Job Planning'!$L48="",0,_xlpm.pending))</f>
        <v>0</v>
      </c>
      <c r="O48" s="7">
        <f>SUM('Job Planning'!$P48:$Q48)</f>
        <v>0</v>
      </c>
      <c r="P48" s="7">
        <f>COUNTIFS('Defect List'!C:C,'Job Planning'!G48,'Defect List'!B:B,"Outstanding",'Defect List'!G:G,"Major")</f>
        <v>0</v>
      </c>
      <c r="Q48" s="7">
        <f>COUNTIFS('Defect List'!C:C,'Job Planning'!G48,'Defect List'!B:B,"Outstanding",'Defect List'!G:G,"Minor")</f>
        <v>0</v>
      </c>
      <c r="R48" s="8" t="str" cm="1">
        <f t="array" ref="R48">_xlfn.TEXTJOIN("
",TRUE,_xlfn._xlws.FILTER('Outstanding Defect (PQ)'!G:G,'Outstanding Defect (PQ)'!B:B='Job Planning'!G48,""))</f>
        <v/>
      </c>
      <c r="S48" s="3"/>
      <c r="T48" s="30" t="str">
        <f>_xlfn.TEXTAFTER(G48,"-",-2)</f>
        <v>CIV-8239A</v>
      </c>
      <c r="U48" s="1" t="str">
        <f>IF(_xlfn.XLOOKUP('Job Planning'!$G48,Search!B:B,Search!C:C,"",0)="","",_xlfn.XLOOKUP('Job Planning'!$G48,Search!B:B,Search!C:C,"",0))</f>
        <v/>
      </c>
      <c r="V48" s="1" t="str">
        <f>_xlfn.XLOOKUP('Job Planning'!$T48,Search!A:A,Search!C:C,"",0)</f>
        <v/>
      </c>
      <c r="W48" s="1" t="str">
        <f>_xlfn.XLOOKUP('Job Planning'!$B48,Search!B:B,Search!C:C,"",0)</f>
        <v/>
      </c>
    </row>
    <row r="49" spans="1:23" ht="14.4">
      <c r="A49" s="1" t="s">
        <v>13</v>
      </c>
      <c r="B49" s="1" t="s">
        <v>73</v>
      </c>
      <c r="C49" s="1" t="s">
        <v>7</v>
      </c>
      <c r="D49" s="3" t="str">
        <f>IF(AND('Job Planning'!$L49="",'Job Planning'!$O49=0)=TRUE,"Can Close","Can't")</f>
        <v>Can't</v>
      </c>
      <c r="E49" s="3" t="str">
        <f>_xlfn.TEXTJOIN(", ",TRUE,IF(N49=0,"","Inspection"),IF('Job Planning'!$O49=0,"","Defect"))</f>
        <v>Inspection, Defect</v>
      </c>
      <c r="F49" s="5"/>
      <c r="G49" s="4" t="s">
        <v>274</v>
      </c>
      <c r="H49" s="1" t="s">
        <v>8</v>
      </c>
      <c r="I49" s="1" t="s">
        <v>8</v>
      </c>
      <c r="J49" s="1" t="s">
        <v>7</v>
      </c>
      <c r="K49" s="1" t="s">
        <v>7</v>
      </c>
      <c r="L49" s="28" t="str">
        <f>_xlfn.TEXTJOIN(", ",TRUE,
IF(ISNUMBER(MATCH('Job Planning'!$H49,{"To Be Signed","Started","Awaiting RFI","Outstanding","RFI Scheduled"},0)),"Stage 1",""),
IF(ISNUMBER(MATCH('Job Planning'!$I49,{"To Be Signed","Started","Awaiting RFI","Outstanding","RFI Scheduled"},0)),"Stage 2",""),
IF(ISNUMBER(MATCH('Job Planning'!$J49,{"To Be Signed","Started","Awaiting RFI","Outstanding","RFI Scheduled"},0)),"Stage 3",""),
IF(ISNUMBER(MATCH('Job Planning'!$K49,{"To Be Signed","Started","Awaiting RFI","Outstanding","RFI Scheduled"},0)),"Stage 4",""))</f>
        <v>Stage 3, Stage 4</v>
      </c>
      <c r="M49" s="1">
        <f>4-COUNTIF('Job Planning'!$H49:$K49,"N/A")-_xlfn.LET(_xlpm.pending,LEN('Job Planning'!$L49)-LEN(SUBSTITUTE('Job Planning'!$L49,",",""))+1,IF('Job Planning'!$L49="",0,_xlpm.pending))</f>
        <v>2</v>
      </c>
      <c r="N49" s="1">
        <f>_xlfn.LET(_xlpm.pending,LEN('Job Planning'!$L49)-LEN(SUBSTITUTE('Job Planning'!$L49,",",""))+1,IF('Job Planning'!$L49="",0,_xlpm.pending))</f>
        <v>2</v>
      </c>
      <c r="O49" s="1">
        <f>SUM('Job Planning'!$P49:$Q49)</f>
        <v>9</v>
      </c>
      <c r="P49" s="1">
        <f>COUNTIFS('Defect List'!C:C,'Job Planning'!G49,'Defect List'!B:B,"Outstanding",'Defect List'!G:G,"Major")</f>
        <v>2</v>
      </c>
      <c r="Q49" s="1">
        <f>COUNTIFS('Defect List'!C:C,'Job Planning'!G49,'Defect List'!B:B,"Outstanding",'Defect List'!G:G,"Minor")</f>
        <v>7</v>
      </c>
      <c r="R49" s="4" t="str" cm="1">
        <f t="array" ref="R49">_xlfn.TEXTJOIN("
",TRUE,_xlfn._xlws.FILTER('Outstanding Defect (PQ)'!G:G,'Outstanding Defect (PQ)'!B:B='Job Planning'!G49,""))</f>
        <v>No. 1) Regulatory Approval Pending
No. 2) Electrical Safety Non-Compliance
No. 3) Missing Equipment Label
No. 4) Missing physical receipt of purchase
No. 5) Photo Evidence Missing
No. 6) Checklist Not Signed
No. 7) Calibration Record Pending
No. 8) Final Inspection Pending
No. 9) Supervisor Acknowledgement Pending</v>
      </c>
      <c r="S49" s="3">
        <v>46755</v>
      </c>
      <c r="T49" s="30" t="str">
        <f>_xlfn.TEXTAFTER(G49,"-",-2)</f>
        <v>CIV-8222A</v>
      </c>
      <c r="U49" s="1" t="str">
        <f>IF(_xlfn.XLOOKUP('Job Planning'!$G49,Search!B:B,Search!C:C,"",0)="","",_xlfn.XLOOKUP('Job Planning'!$G49,Search!B:B,Search!C:C,"",0))</f>
        <v/>
      </c>
      <c r="V49" s="1" t="str">
        <f>_xlfn.XLOOKUP('Job Planning'!$T49,Search!A:A,Search!C:C,"",0)</f>
        <v/>
      </c>
      <c r="W49" s="1" t="str">
        <f>_xlfn.XLOOKUP('Job Planning'!$B49,Search!B:B,Search!C:C,"",0)</f>
        <v/>
      </c>
    </row>
    <row r="50" spans="1:23" ht="14.4">
      <c r="A50" s="7" t="s">
        <v>13</v>
      </c>
      <c r="B50" s="7" t="s">
        <v>74</v>
      </c>
      <c r="C50" s="7" t="s">
        <v>8</v>
      </c>
      <c r="D50" s="6" t="str">
        <f>IF(AND('Job Planning'!$L50="",'Job Planning'!$O50=0)=TRUE,"Can Close","Can't")</f>
        <v>Can Close</v>
      </c>
      <c r="E50" s="6" t="str">
        <f>_xlfn.TEXTJOIN(", ",TRUE,IF(N50=0,"","Inspection"),IF('Job Planning'!$O50=0,"","Defect"))</f>
        <v/>
      </c>
      <c r="F50" s="21"/>
      <c r="G50" s="8" t="s">
        <v>333</v>
      </c>
      <c r="H50" s="7" t="s">
        <v>8</v>
      </c>
      <c r="I50" s="7" t="s">
        <v>8</v>
      </c>
      <c r="J50" s="7" t="s">
        <v>8</v>
      </c>
      <c r="K50" s="7" t="s">
        <v>8</v>
      </c>
      <c r="L50" s="19" t="str">
        <f>_xlfn.TEXTJOIN(", ",TRUE,
IF(ISNUMBER(MATCH('Job Planning'!$H50,{"To Be Signed","Started","Awaiting RFI","Outstanding","RFI Scheduled"},0)),"Stage 1",""),
IF(ISNUMBER(MATCH('Job Planning'!$I50,{"To Be Signed","Started","Awaiting RFI","Outstanding","RFI Scheduled"},0)),"Stage 2",""),
IF(ISNUMBER(MATCH('Job Planning'!$J50,{"To Be Signed","Started","Awaiting RFI","Outstanding","RFI Scheduled"},0)),"Stage 3",""),
IF(ISNUMBER(MATCH('Job Planning'!$K50,{"To Be Signed","Started","Awaiting RFI","Outstanding","RFI Scheduled"},0)),"Stage 4",""))</f>
        <v/>
      </c>
      <c r="M50" s="7">
        <f>4-COUNTIF('Job Planning'!$H50:$K50,"N/A")-_xlfn.LET(_xlpm.pending,LEN('Job Planning'!$L50)-LEN(SUBSTITUTE('Job Planning'!$L50,",",""))+1,IF('Job Planning'!$L50="",0,_xlpm.pending))</f>
        <v>4</v>
      </c>
      <c r="N50" s="7">
        <f>_xlfn.LET(_xlpm.pending,LEN('Job Planning'!$L50)-LEN(SUBSTITUTE('Job Planning'!$L50,",",""))+1,IF('Job Planning'!$L50="",0,_xlpm.pending))</f>
        <v>0</v>
      </c>
      <c r="O50" s="7">
        <f>SUM('Job Planning'!$P50:$Q50)</f>
        <v>0</v>
      </c>
      <c r="P50" s="7">
        <f>COUNTIFS('Defect List'!C:C,'Job Planning'!G50,'Defect List'!B:B,"Outstanding",'Defect List'!G:G,"Major")</f>
        <v>0</v>
      </c>
      <c r="Q50" s="7">
        <f>COUNTIFS('Defect List'!C:C,'Job Planning'!G50,'Defect List'!B:B,"Outstanding",'Defect List'!G:G,"Minor")</f>
        <v>0</v>
      </c>
      <c r="R50" s="8" t="str" cm="1">
        <f t="array" ref="R50">_xlfn.TEXTJOIN("
",TRUE,_xlfn._xlws.FILTER('Outstanding Defect (PQ)'!G:G,'Outstanding Defect (PQ)'!B:B='Job Planning'!G50,""))</f>
        <v/>
      </c>
      <c r="S50" s="3"/>
      <c r="T50" s="30" t="str">
        <f>_xlfn.TEXTAFTER(G50,"-",-2)</f>
        <v>OPS-8662</v>
      </c>
      <c r="U50" s="1" t="str">
        <f>IF(_xlfn.XLOOKUP('Job Planning'!$G50,Search!B:B,Search!C:C,"",0)="","",_xlfn.XLOOKUP('Job Planning'!$G50,Search!B:B,Search!C:C,"",0))</f>
        <v/>
      </c>
      <c r="V50" s="1" t="str">
        <f>_xlfn.XLOOKUP('Job Planning'!$T50,Search!A:A,Search!C:C,"",0)</f>
        <v/>
      </c>
      <c r="W50" s="1" t="str">
        <f>_xlfn.XLOOKUP('Job Planning'!$B50,Search!B:B,Search!C:C,"",0)</f>
        <v/>
      </c>
    </row>
    <row r="51" spans="1:23" ht="14.4">
      <c r="A51" s="7" t="s">
        <v>13</v>
      </c>
      <c r="B51" s="7" t="s">
        <v>75</v>
      </c>
      <c r="C51" s="7" t="s">
        <v>8</v>
      </c>
      <c r="D51" s="6" t="str">
        <f>IF(AND('Job Planning'!$L51="",'Job Planning'!$O51=0)=TRUE,"Can Close","Can't")</f>
        <v>Can Close</v>
      </c>
      <c r="E51" s="6" t="str">
        <f>_xlfn.TEXTJOIN(", ",TRUE,IF(N51=0,"","Inspection"),IF('Job Planning'!$O51=0,"","Defect"))</f>
        <v/>
      </c>
      <c r="F51" s="21"/>
      <c r="G51" s="8" t="s">
        <v>334</v>
      </c>
      <c r="H51" s="7" t="s">
        <v>8</v>
      </c>
      <c r="I51" s="7" t="s">
        <v>8</v>
      </c>
      <c r="J51" s="7" t="s">
        <v>8</v>
      </c>
      <c r="K51" s="7" t="s">
        <v>8</v>
      </c>
      <c r="L51" s="19" t="str">
        <f>_xlfn.TEXTJOIN(", ",TRUE,
IF(ISNUMBER(MATCH('Job Planning'!$H51,{"To Be Signed","Started","Awaiting RFI","Outstanding","RFI Scheduled"},0)),"Stage 1",""),
IF(ISNUMBER(MATCH('Job Planning'!$I51,{"To Be Signed","Started","Awaiting RFI","Outstanding","RFI Scheduled"},0)),"Stage 2",""),
IF(ISNUMBER(MATCH('Job Planning'!$J51,{"To Be Signed","Started","Awaiting RFI","Outstanding","RFI Scheduled"},0)),"Stage 3",""),
IF(ISNUMBER(MATCH('Job Planning'!$K51,{"To Be Signed","Started","Awaiting RFI","Outstanding","RFI Scheduled"},0)),"Stage 4",""))</f>
        <v/>
      </c>
      <c r="M51" s="7">
        <f>4-COUNTIF('Job Planning'!$H51:$K51,"N/A")-_xlfn.LET(_xlpm.pending,LEN('Job Planning'!$L51)-LEN(SUBSTITUTE('Job Planning'!$L51,",",""))+1,IF('Job Planning'!$L51="",0,_xlpm.pending))</f>
        <v>4</v>
      </c>
      <c r="N51" s="7">
        <f>_xlfn.LET(_xlpm.pending,LEN('Job Planning'!$L51)-LEN(SUBSTITUTE('Job Planning'!$L51,",",""))+1,IF('Job Planning'!$L51="",0,_xlpm.pending))</f>
        <v>0</v>
      </c>
      <c r="O51" s="7">
        <f>SUM('Job Planning'!$P51:$Q51)</f>
        <v>0</v>
      </c>
      <c r="P51" s="7">
        <f>COUNTIFS('Defect List'!C:C,'Job Planning'!G51,'Defect List'!B:B,"Outstanding",'Defect List'!G:G,"Major")</f>
        <v>0</v>
      </c>
      <c r="Q51" s="7">
        <f>COUNTIFS('Defect List'!C:C,'Job Planning'!G51,'Defect List'!B:B,"Outstanding",'Defect List'!G:G,"Minor")</f>
        <v>0</v>
      </c>
      <c r="R51" s="8" t="str" cm="1">
        <f t="array" ref="R51">_xlfn.TEXTJOIN("
",TRUE,_xlfn._xlws.FILTER('Outstanding Defect (PQ)'!G:G,'Outstanding Defect (PQ)'!B:B='Job Planning'!G51,""))</f>
        <v/>
      </c>
      <c r="S51" s="3"/>
      <c r="T51" s="30" t="str">
        <f>_xlfn.TEXTAFTER(G51,"-",-2)</f>
        <v>GEN-8666</v>
      </c>
      <c r="U51" s="1" t="str">
        <f>IF(_xlfn.XLOOKUP('Job Planning'!$G51,Search!B:B,Search!C:C,"",0)="","",_xlfn.XLOOKUP('Job Planning'!$G51,Search!B:B,Search!C:C,"",0))</f>
        <v/>
      </c>
      <c r="V51" s="1" t="str">
        <f>_xlfn.XLOOKUP('Job Planning'!$T51,Search!A:A,Search!C:C,"",0)</f>
        <v/>
      </c>
      <c r="W51" s="1" t="str">
        <f>_xlfn.XLOOKUP('Job Planning'!$B51,Search!B:B,Search!C:C,"",0)</f>
        <v/>
      </c>
    </row>
    <row r="52" spans="1:23" ht="14.4">
      <c r="A52" s="7" t="s">
        <v>13</v>
      </c>
      <c r="B52" s="7" t="s">
        <v>76</v>
      </c>
      <c r="C52" s="7" t="s">
        <v>8</v>
      </c>
      <c r="D52" s="6" t="str">
        <f>IF(AND('Job Planning'!$L52="",'Job Planning'!$O52=0)=TRUE,"Can Close","Can't")</f>
        <v>Can Close</v>
      </c>
      <c r="E52" s="6" t="str">
        <f>_xlfn.TEXTJOIN(", ",TRUE,IF(N52=0,"","Inspection"),IF('Job Planning'!$O52=0,"","Defect"))</f>
        <v/>
      </c>
      <c r="F52" s="21"/>
      <c r="G52" s="8" t="s">
        <v>335</v>
      </c>
      <c r="H52" s="7" t="s">
        <v>8</v>
      </c>
      <c r="I52" s="7" t="s">
        <v>8</v>
      </c>
      <c r="J52" s="7" t="s">
        <v>8</v>
      </c>
      <c r="K52" s="7" t="s">
        <v>8</v>
      </c>
      <c r="L52" s="19" t="str">
        <f>_xlfn.TEXTJOIN(", ",TRUE,
IF(ISNUMBER(MATCH('Job Planning'!$H52,{"To Be Signed","Started","Awaiting RFI","Outstanding","RFI Scheduled"},0)),"Stage 1",""),
IF(ISNUMBER(MATCH('Job Planning'!$I52,{"To Be Signed","Started","Awaiting RFI","Outstanding","RFI Scheduled"},0)),"Stage 2",""),
IF(ISNUMBER(MATCH('Job Planning'!$J52,{"To Be Signed","Started","Awaiting RFI","Outstanding","RFI Scheduled"},0)),"Stage 3",""),
IF(ISNUMBER(MATCH('Job Planning'!$K52,{"To Be Signed","Started","Awaiting RFI","Outstanding","RFI Scheduled"},0)),"Stage 4",""))</f>
        <v/>
      </c>
      <c r="M52" s="7">
        <f>4-COUNTIF('Job Planning'!$H52:$K52,"N/A")-_xlfn.LET(_xlpm.pending,LEN('Job Planning'!$L52)-LEN(SUBSTITUTE('Job Planning'!$L52,",",""))+1,IF('Job Planning'!$L52="",0,_xlpm.pending))</f>
        <v>4</v>
      </c>
      <c r="N52" s="7">
        <f>_xlfn.LET(_xlpm.pending,LEN('Job Planning'!$L52)-LEN(SUBSTITUTE('Job Planning'!$L52,",",""))+1,IF('Job Planning'!$L52="",0,_xlpm.pending))</f>
        <v>0</v>
      </c>
      <c r="O52" s="7">
        <f>SUM('Job Planning'!$P52:$Q52)</f>
        <v>0</v>
      </c>
      <c r="P52" s="7">
        <f>COUNTIFS('Defect List'!C:C,'Job Planning'!G52,'Defect List'!B:B,"Outstanding",'Defect List'!G:G,"Major")</f>
        <v>0</v>
      </c>
      <c r="Q52" s="7">
        <f>COUNTIFS('Defect List'!C:C,'Job Planning'!G52,'Defect List'!B:B,"Outstanding",'Defect List'!G:G,"Minor")</f>
        <v>0</v>
      </c>
      <c r="R52" s="8" t="str" cm="1">
        <f t="array" ref="R52">_xlfn.TEXTJOIN("
",TRUE,_xlfn._xlws.FILTER('Outstanding Defect (PQ)'!G:G,'Outstanding Defect (PQ)'!B:B='Job Planning'!G52,""))</f>
        <v/>
      </c>
      <c r="S52" s="3"/>
      <c r="T52" s="30" t="str">
        <f>_xlfn.TEXTAFTER(G52,"-",-2)</f>
        <v>GEN-8665</v>
      </c>
      <c r="U52" s="1" t="str">
        <f>IF(_xlfn.XLOOKUP('Job Planning'!$G52,Search!B:B,Search!C:C,"",0)="","",_xlfn.XLOOKUP('Job Planning'!$G52,Search!B:B,Search!C:C,"",0))</f>
        <v/>
      </c>
      <c r="V52" s="1" t="str">
        <f>_xlfn.XLOOKUP('Job Planning'!$T52,Search!A:A,Search!C:C,"",0)</f>
        <v/>
      </c>
      <c r="W52" s="1" t="str">
        <f>_xlfn.XLOOKUP('Job Planning'!$B52,Search!B:B,Search!C:C,"",0)</f>
        <v/>
      </c>
    </row>
    <row r="53" spans="1:23" ht="14.4">
      <c r="A53" s="7" t="s">
        <v>13</v>
      </c>
      <c r="B53" s="7" t="s">
        <v>77</v>
      </c>
      <c r="C53" s="7" t="s">
        <v>8</v>
      </c>
      <c r="D53" s="6" t="str">
        <f>IF(AND('Job Planning'!$L53="",'Job Planning'!$O53=0)=TRUE,"Can Close","Can't")</f>
        <v>Can Close</v>
      </c>
      <c r="E53" s="6" t="str">
        <f>_xlfn.TEXTJOIN(", ",TRUE,IF(N53=0,"","Inspection"),IF('Job Planning'!$O53=0,"","Defect"))</f>
        <v/>
      </c>
      <c r="F53" s="21"/>
      <c r="G53" s="8" t="s">
        <v>336</v>
      </c>
      <c r="H53" s="7" t="s">
        <v>8</v>
      </c>
      <c r="I53" s="7" t="s">
        <v>8</v>
      </c>
      <c r="J53" s="7" t="s">
        <v>8</v>
      </c>
      <c r="K53" s="7" t="s">
        <v>8</v>
      </c>
      <c r="L53" s="19" t="str">
        <f>_xlfn.TEXTJOIN(", ",TRUE,
IF(ISNUMBER(MATCH('Job Planning'!$H53,{"To Be Signed","Started","Awaiting RFI","Outstanding","RFI Scheduled"},0)),"Stage 1",""),
IF(ISNUMBER(MATCH('Job Planning'!$I53,{"To Be Signed","Started","Awaiting RFI","Outstanding","RFI Scheduled"},0)),"Stage 2",""),
IF(ISNUMBER(MATCH('Job Planning'!$J53,{"To Be Signed","Started","Awaiting RFI","Outstanding","RFI Scheduled"},0)),"Stage 3",""),
IF(ISNUMBER(MATCH('Job Planning'!$K53,{"To Be Signed","Started","Awaiting RFI","Outstanding","RFI Scheduled"},0)),"Stage 4",""))</f>
        <v/>
      </c>
      <c r="M53" s="7">
        <f>4-COUNTIF('Job Planning'!$H53:$K53,"N/A")-_xlfn.LET(_xlpm.pending,LEN('Job Planning'!$L53)-LEN(SUBSTITUTE('Job Planning'!$L53,",",""))+1,IF('Job Planning'!$L53="",0,_xlpm.pending))</f>
        <v>4</v>
      </c>
      <c r="N53" s="7">
        <f>_xlfn.LET(_xlpm.pending,LEN('Job Planning'!$L53)-LEN(SUBSTITUTE('Job Planning'!$L53,",",""))+1,IF('Job Planning'!$L53="",0,_xlpm.pending))</f>
        <v>0</v>
      </c>
      <c r="O53" s="7">
        <f>SUM('Job Planning'!$P53:$Q53)</f>
        <v>0</v>
      </c>
      <c r="P53" s="7">
        <f>COUNTIFS('Defect List'!C:C,'Job Planning'!G53,'Defect List'!B:B,"Outstanding",'Defect List'!G:G,"Major")</f>
        <v>0</v>
      </c>
      <c r="Q53" s="7">
        <f>COUNTIFS('Defect List'!C:C,'Job Planning'!G53,'Defect List'!B:B,"Outstanding",'Defect List'!G:G,"Minor")</f>
        <v>0</v>
      </c>
      <c r="R53" s="8" t="str" cm="1">
        <f t="array" ref="R53">_xlfn.TEXTJOIN("
",TRUE,_xlfn._xlws.FILTER('Outstanding Defect (PQ)'!G:G,'Outstanding Defect (PQ)'!B:B='Job Planning'!G53,""))</f>
        <v/>
      </c>
      <c r="S53" s="3"/>
      <c r="T53" s="30" t="str">
        <f>_xlfn.TEXTAFTER(G53,"-",-2)</f>
        <v>SAF-8661</v>
      </c>
      <c r="U53" s="1" t="str">
        <f>IF(_xlfn.XLOOKUP('Job Planning'!$G53,Search!B:B,Search!C:C,"",0)="","",_xlfn.XLOOKUP('Job Planning'!$G53,Search!B:B,Search!C:C,"",0))</f>
        <v/>
      </c>
      <c r="V53" s="1" t="str">
        <f>_xlfn.XLOOKUP('Job Planning'!$T53,Search!A:A,Search!C:C,"",0)</f>
        <v/>
      </c>
      <c r="W53" s="1" t="str">
        <f>_xlfn.XLOOKUP('Job Planning'!$B53,Search!B:B,Search!C:C,"",0)</f>
        <v/>
      </c>
    </row>
    <row r="54" spans="1:23" ht="14.4">
      <c r="A54" s="7" t="s">
        <v>13</v>
      </c>
      <c r="B54" s="7" t="s">
        <v>78</v>
      </c>
      <c r="C54" s="7" t="s">
        <v>8</v>
      </c>
      <c r="D54" s="6" t="str">
        <f>IF(AND('Job Planning'!$L54="",'Job Planning'!$O54=0)=TRUE,"Can Close","Can't")</f>
        <v>Can Close</v>
      </c>
      <c r="E54" s="6" t="str">
        <f>_xlfn.TEXTJOIN(", ",TRUE,IF(N54=0,"","Inspection"),IF('Job Planning'!$O54=0,"","Defect"))</f>
        <v/>
      </c>
      <c r="F54" s="21"/>
      <c r="G54" s="8" t="s">
        <v>337</v>
      </c>
      <c r="H54" s="7" t="s">
        <v>8</v>
      </c>
      <c r="I54" s="7" t="s">
        <v>8</v>
      </c>
      <c r="J54" s="7" t="s">
        <v>8</v>
      </c>
      <c r="K54" s="7" t="s">
        <v>8</v>
      </c>
      <c r="L54" s="19" t="str">
        <f>_xlfn.TEXTJOIN(", ",TRUE,
IF(ISNUMBER(MATCH('Job Planning'!$H54,{"To Be Signed","Started","Awaiting RFI","Outstanding","RFI Scheduled"},0)),"Stage 1",""),
IF(ISNUMBER(MATCH('Job Planning'!$I54,{"To Be Signed","Started","Awaiting RFI","Outstanding","RFI Scheduled"},0)),"Stage 2",""),
IF(ISNUMBER(MATCH('Job Planning'!$J54,{"To Be Signed","Started","Awaiting RFI","Outstanding","RFI Scheduled"},0)),"Stage 3",""),
IF(ISNUMBER(MATCH('Job Planning'!$K54,{"To Be Signed","Started","Awaiting RFI","Outstanding","RFI Scheduled"},0)),"Stage 4",""))</f>
        <v/>
      </c>
      <c r="M54" s="7">
        <f>4-COUNTIF('Job Planning'!$H54:$K54,"N/A")-_xlfn.LET(_xlpm.pending,LEN('Job Planning'!$L54)-LEN(SUBSTITUTE('Job Planning'!$L54,",",""))+1,IF('Job Planning'!$L54="",0,_xlpm.pending))</f>
        <v>4</v>
      </c>
      <c r="N54" s="7">
        <f>_xlfn.LET(_xlpm.pending,LEN('Job Planning'!$L54)-LEN(SUBSTITUTE('Job Planning'!$L54,",",""))+1,IF('Job Planning'!$L54="",0,_xlpm.pending))</f>
        <v>0</v>
      </c>
      <c r="O54" s="7">
        <f>SUM('Job Planning'!$P54:$Q54)</f>
        <v>0</v>
      </c>
      <c r="P54" s="7">
        <f>COUNTIFS('Defect List'!C:C,'Job Planning'!G54,'Defect List'!B:B,"Outstanding",'Defect List'!G:G,"Major")</f>
        <v>0</v>
      </c>
      <c r="Q54" s="7">
        <f>COUNTIFS('Defect List'!C:C,'Job Planning'!G54,'Defect List'!B:B,"Outstanding",'Defect List'!G:G,"Minor")</f>
        <v>0</v>
      </c>
      <c r="R54" s="8" t="str" cm="1">
        <f t="array" ref="R54">_xlfn.TEXTJOIN("
",TRUE,_xlfn._xlws.FILTER('Outstanding Defect (PQ)'!G:G,'Outstanding Defect (PQ)'!B:B='Job Planning'!G54,""))</f>
        <v/>
      </c>
      <c r="S54" s="3"/>
      <c r="T54" s="30" t="str">
        <f>_xlfn.TEXTAFTER(G54,"-",-2)</f>
        <v>SAF-8660</v>
      </c>
      <c r="U54" s="1" t="str">
        <f>IF(_xlfn.XLOOKUP('Job Planning'!$G54,Search!B:B,Search!C:C,"",0)="","",_xlfn.XLOOKUP('Job Planning'!$G54,Search!B:B,Search!C:C,"",0))</f>
        <v/>
      </c>
      <c r="V54" s="1" t="str">
        <f>_xlfn.XLOOKUP('Job Planning'!$T54,Search!A:A,Search!C:C,"",0)</f>
        <v/>
      </c>
      <c r="W54" s="1" t="str">
        <f>_xlfn.XLOOKUP('Job Planning'!$B54,Search!B:B,Search!C:C,"",0)</f>
        <v/>
      </c>
    </row>
    <row r="55" spans="1:23" ht="14.4">
      <c r="A55" s="7" t="s">
        <v>13</v>
      </c>
      <c r="B55" s="7" t="s">
        <v>79</v>
      </c>
      <c r="C55" s="7" t="s">
        <v>8</v>
      </c>
      <c r="D55" s="6" t="str">
        <f>IF(AND('Job Planning'!$L55="",'Job Planning'!$O55=0)=TRUE,"Can Close","Can't")</f>
        <v>Can Close</v>
      </c>
      <c r="E55" s="6" t="str">
        <f>_xlfn.TEXTJOIN(", ",TRUE,IF(N55=0,"","Inspection"),IF('Job Planning'!$O55=0,"","Defect"))</f>
        <v/>
      </c>
      <c r="F55" s="21"/>
      <c r="G55" s="8" t="s">
        <v>338</v>
      </c>
      <c r="H55" s="7" t="s">
        <v>8</v>
      </c>
      <c r="I55" s="7" t="s">
        <v>8</v>
      </c>
      <c r="J55" s="7" t="s">
        <v>8</v>
      </c>
      <c r="K55" s="7" t="s">
        <v>8</v>
      </c>
      <c r="L55" s="19" t="str">
        <f>_xlfn.TEXTJOIN(", ",TRUE,
IF(ISNUMBER(MATCH('Job Planning'!$H55,{"To Be Signed","Started","Awaiting RFI","Outstanding","RFI Scheduled"},0)),"Stage 1",""),
IF(ISNUMBER(MATCH('Job Planning'!$I55,{"To Be Signed","Started","Awaiting RFI","Outstanding","RFI Scheduled"},0)),"Stage 2",""),
IF(ISNUMBER(MATCH('Job Planning'!$J55,{"To Be Signed","Started","Awaiting RFI","Outstanding","RFI Scheduled"},0)),"Stage 3",""),
IF(ISNUMBER(MATCH('Job Planning'!$K55,{"To Be Signed","Started","Awaiting RFI","Outstanding","RFI Scheduled"},0)),"Stage 4",""))</f>
        <v/>
      </c>
      <c r="M55" s="7">
        <f>4-COUNTIF('Job Planning'!$H55:$K55,"N/A")-_xlfn.LET(_xlpm.pending,LEN('Job Planning'!$L55)-LEN(SUBSTITUTE('Job Planning'!$L55,",",""))+1,IF('Job Planning'!$L55="",0,_xlpm.pending))</f>
        <v>4</v>
      </c>
      <c r="N55" s="7">
        <f>_xlfn.LET(_xlpm.pending,LEN('Job Planning'!$L55)-LEN(SUBSTITUTE('Job Planning'!$L55,",",""))+1,IF('Job Planning'!$L55="",0,_xlpm.pending))</f>
        <v>0</v>
      </c>
      <c r="O55" s="7">
        <f>SUM('Job Planning'!$P55:$Q55)</f>
        <v>0</v>
      </c>
      <c r="P55" s="7">
        <f>COUNTIFS('Defect List'!C:C,'Job Planning'!G55,'Defect List'!B:B,"Outstanding",'Defect List'!G:G,"Major")</f>
        <v>0</v>
      </c>
      <c r="Q55" s="7">
        <f>COUNTIFS('Defect List'!C:C,'Job Planning'!G55,'Defect List'!B:B,"Outstanding",'Defect List'!G:G,"Minor")</f>
        <v>0</v>
      </c>
      <c r="R55" s="8" t="str" cm="1">
        <f t="array" ref="R55">_xlfn.TEXTJOIN("
",TRUE,_xlfn._xlws.FILTER('Outstanding Defect (PQ)'!G:G,'Outstanding Defect (PQ)'!B:B='Job Planning'!G55,""))</f>
        <v/>
      </c>
      <c r="S55" s="3"/>
      <c r="T55" s="30" t="str">
        <f>_xlfn.TEXTAFTER(G55,"-",-2)</f>
        <v>SAF-8658</v>
      </c>
      <c r="U55" s="1" t="str">
        <f>IF(_xlfn.XLOOKUP('Job Planning'!$G55,Search!B:B,Search!C:C,"",0)="","",_xlfn.XLOOKUP('Job Planning'!$G55,Search!B:B,Search!C:C,"",0))</f>
        <v/>
      </c>
      <c r="V55" s="1" t="str">
        <f>_xlfn.XLOOKUP('Job Planning'!$T55,Search!A:A,Search!C:C,"",0)</f>
        <v/>
      </c>
      <c r="W55" s="1" t="str">
        <f>_xlfn.XLOOKUP('Job Planning'!$B55,Search!B:B,Search!C:C,"",0)</f>
        <v/>
      </c>
    </row>
    <row r="56" spans="1:23" ht="14.4">
      <c r="A56" s="7" t="s">
        <v>13</v>
      </c>
      <c r="B56" s="7" t="s">
        <v>80</v>
      </c>
      <c r="C56" s="7" t="s">
        <v>8</v>
      </c>
      <c r="D56" s="6" t="str">
        <f>IF(AND('Job Planning'!$L56="",'Job Planning'!$O56=0)=TRUE,"Can Close","Can't")</f>
        <v>Can Close</v>
      </c>
      <c r="E56" s="6" t="str">
        <f>_xlfn.TEXTJOIN(", ",TRUE,IF(N56=0,"","Inspection"),IF('Job Planning'!$O56=0,"","Defect"))</f>
        <v/>
      </c>
      <c r="F56" s="21"/>
      <c r="G56" s="8" t="s">
        <v>339</v>
      </c>
      <c r="H56" s="7" t="s">
        <v>8</v>
      </c>
      <c r="I56" s="7" t="s">
        <v>8</v>
      </c>
      <c r="J56" s="7" t="s">
        <v>8</v>
      </c>
      <c r="K56" s="7" t="s">
        <v>8</v>
      </c>
      <c r="L56" s="19" t="str">
        <f>_xlfn.TEXTJOIN(", ",TRUE,
IF(ISNUMBER(MATCH('Job Planning'!$H56,{"To Be Signed","Started","Awaiting RFI","Outstanding","RFI Scheduled"},0)),"Stage 1",""),
IF(ISNUMBER(MATCH('Job Planning'!$I56,{"To Be Signed","Started","Awaiting RFI","Outstanding","RFI Scheduled"},0)),"Stage 2",""),
IF(ISNUMBER(MATCH('Job Planning'!$J56,{"To Be Signed","Started","Awaiting RFI","Outstanding","RFI Scheduled"},0)),"Stage 3",""),
IF(ISNUMBER(MATCH('Job Planning'!$K56,{"To Be Signed","Started","Awaiting RFI","Outstanding","RFI Scheduled"},0)),"Stage 4",""))</f>
        <v/>
      </c>
      <c r="M56" s="7">
        <f>4-COUNTIF('Job Planning'!$H56:$K56,"N/A")-_xlfn.LET(_xlpm.pending,LEN('Job Planning'!$L56)-LEN(SUBSTITUTE('Job Planning'!$L56,",",""))+1,IF('Job Planning'!$L56="",0,_xlpm.pending))</f>
        <v>4</v>
      </c>
      <c r="N56" s="7">
        <f>_xlfn.LET(_xlpm.pending,LEN('Job Planning'!$L56)-LEN(SUBSTITUTE('Job Planning'!$L56,",",""))+1,IF('Job Planning'!$L56="",0,_xlpm.pending))</f>
        <v>0</v>
      </c>
      <c r="O56" s="7">
        <f>SUM('Job Planning'!$P56:$Q56)</f>
        <v>0</v>
      </c>
      <c r="P56" s="7">
        <f>COUNTIFS('Defect List'!C:C,'Job Planning'!G56,'Defect List'!B:B,"Outstanding",'Defect List'!G:G,"Major")</f>
        <v>0</v>
      </c>
      <c r="Q56" s="7">
        <f>COUNTIFS('Defect List'!C:C,'Job Planning'!G56,'Defect List'!B:B,"Outstanding",'Defect List'!G:G,"Minor")</f>
        <v>0</v>
      </c>
      <c r="R56" s="8" t="str" cm="1">
        <f t="array" ref="R56">_xlfn.TEXTJOIN("
",TRUE,_xlfn._xlws.FILTER('Outstanding Defect (PQ)'!G:G,'Outstanding Defect (PQ)'!B:B='Job Planning'!G56,""))</f>
        <v/>
      </c>
      <c r="S56" s="3"/>
      <c r="T56" s="30" t="str">
        <f>_xlfn.TEXTAFTER(G56,"-",-2)</f>
        <v>SAF-8657</v>
      </c>
      <c r="U56" s="1" t="str">
        <f>IF(_xlfn.XLOOKUP('Job Planning'!$G56,Search!B:B,Search!C:C,"",0)="","",_xlfn.XLOOKUP('Job Planning'!$G56,Search!B:B,Search!C:C,"",0))</f>
        <v/>
      </c>
      <c r="V56" s="1" t="str">
        <f>_xlfn.XLOOKUP('Job Planning'!$T56,Search!A:A,Search!C:C,"",0)</f>
        <v/>
      </c>
      <c r="W56" s="1" t="str">
        <f>_xlfn.XLOOKUP('Job Planning'!$B56,Search!B:B,Search!C:C,"",0)</f>
        <v/>
      </c>
    </row>
    <row r="57" spans="1:23" ht="14.4">
      <c r="A57" s="7" t="s">
        <v>13</v>
      </c>
      <c r="B57" s="7" t="s">
        <v>81</v>
      </c>
      <c r="C57" s="7" t="s">
        <v>8</v>
      </c>
      <c r="D57" s="6" t="str">
        <f>IF(AND('Job Planning'!$L57="",'Job Planning'!$O57=0)=TRUE,"Can Close","Can't")</f>
        <v>Can Close</v>
      </c>
      <c r="E57" s="6" t="str">
        <f>_xlfn.TEXTJOIN(", ",TRUE,IF(N57=0,"","Inspection"),IF('Job Planning'!$O57=0,"","Defect"))</f>
        <v/>
      </c>
      <c r="F57" s="21"/>
      <c r="G57" s="8" t="s">
        <v>340</v>
      </c>
      <c r="H57" s="7" t="s">
        <v>8</v>
      </c>
      <c r="I57" s="7" t="s">
        <v>8</v>
      </c>
      <c r="J57" s="7" t="s">
        <v>8</v>
      </c>
      <c r="K57" s="7" t="s">
        <v>8</v>
      </c>
      <c r="L57" s="19" t="str">
        <f>_xlfn.TEXTJOIN(", ",TRUE,
IF(ISNUMBER(MATCH('Job Planning'!$H57,{"To Be Signed","Started","Awaiting RFI","Outstanding","RFI Scheduled"},0)),"Stage 1",""),
IF(ISNUMBER(MATCH('Job Planning'!$I57,{"To Be Signed","Started","Awaiting RFI","Outstanding","RFI Scheduled"},0)),"Stage 2",""),
IF(ISNUMBER(MATCH('Job Planning'!$J57,{"To Be Signed","Started","Awaiting RFI","Outstanding","RFI Scheduled"},0)),"Stage 3",""),
IF(ISNUMBER(MATCH('Job Planning'!$K57,{"To Be Signed","Started","Awaiting RFI","Outstanding","RFI Scheduled"},0)),"Stage 4",""))</f>
        <v/>
      </c>
      <c r="M57" s="7">
        <f>4-COUNTIF('Job Planning'!$H57:$K57,"N/A")-_xlfn.LET(_xlpm.pending,LEN('Job Planning'!$L57)-LEN(SUBSTITUTE('Job Planning'!$L57,",",""))+1,IF('Job Planning'!$L57="",0,_xlpm.pending))</f>
        <v>4</v>
      </c>
      <c r="N57" s="7">
        <f>_xlfn.LET(_xlpm.pending,LEN('Job Planning'!$L57)-LEN(SUBSTITUTE('Job Planning'!$L57,",",""))+1,IF('Job Planning'!$L57="",0,_xlpm.pending))</f>
        <v>0</v>
      </c>
      <c r="O57" s="7">
        <f>SUM('Job Planning'!$P57:$Q57)</f>
        <v>0</v>
      </c>
      <c r="P57" s="7">
        <f>COUNTIFS('Defect List'!C:C,'Job Planning'!G57,'Defect List'!B:B,"Outstanding",'Defect List'!G:G,"Major")</f>
        <v>0</v>
      </c>
      <c r="Q57" s="7">
        <f>COUNTIFS('Defect List'!C:C,'Job Planning'!G57,'Defect List'!B:B,"Outstanding",'Defect List'!G:G,"Minor")</f>
        <v>0</v>
      </c>
      <c r="R57" s="8" t="str" cm="1">
        <f t="array" ref="R57">_xlfn.TEXTJOIN("
",TRUE,_xlfn._xlws.FILTER('Outstanding Defect (PQ)'!G:G,'Outstanding Defect (PQ)'!B:B='Job Planning'!G57,""))</f>
        <v/>
      </c>
      <c r="S57" s="3"/>
      <c r="T57" s="30" t="str">
        <f>_xlfn.TEXTAFTER(G57,"-",-2)</f>
        <v>SAF-8655</v>
      </c>
      <c r="U57" s="1" t="str">
        <f>IF(_xlfn.XLOOKUP('Job Planning'!$G57,Search!B:B,Search!C:C,"",0)="","",_xlfn.XLOOKUP('Job Planning'!$G57,Search!B:B,Search!C:C,"",0))</f>
        <v/>
      </c>
      <c r="V57" s="1" t="str">
        <f>_xlfn.XLOOKUP('Job Planning'!$T57,Search!A:A,Search!C:C,"",0)</f>
        <v/>
      </c>
      <c r="W57" s="1" t="str">
        <f>_xlfn.XLOOKUP('Job Planning'!$B57,Search!B:B,Search!C:C,"",0)</f>
        <v/>
      </c>
    </row>
    <row r="58" spans="1:23" ht="14.4">
      <c r="A58" s="7" t="s">
        <v>13</v>
      </c>
      <c r="B58" s="7" t="s">
        <v>82</v>
      </c>
      <c r="C58" s="7" t="s">
        <v>8</v>
      </c>
      <c r="D58" s="6" t="str">
        <f>IF(AND('Job Planning'!$L58="",'Job Planning'!$O58=0)=TRUE,"Can Close","Can't")</f>
        <v>Can Close</v>
      </c>
      <c r="E58" s="6" t="str">
        <f>_xlfn.TEXTJOIN(", ",TRUE,IF(N58=0,"","Inspection"),IF('Job Planning'!$O58=0,"","Defect"))</f>
        <v/>
      </c>
      <c r="F58" s="21"/>
      <c r="G58" s="8" t="s">
        <v>341</v>
      </c>
      <c r="H58" s="7" t="s">
        <v>8</v>
      </c>
      <c r="I58" s="7" t="s">
        <v>8</v>
      </c>
      <c r="J58" s="7" t="s">
        <v>8</v>
      </c>
      <c r="K58" s="7" t="s">
        <v>8</v>
      </c>
      <c r="L58" s="19" t="str">
        <f>_xlfn.TEXTJOIN(", ",TRUE,
IF(ISNUMBER(MATCH('Job Planning'!$H58,{"To Be Signed","Started","Awaiting RFI","Outstanding","RFI Scheduled"},0)),"Stage 1",""),
IF(ISNUMBER(MATCH('Job Planning'!$I58,{"To Be Signed","Started","Awaiting RFI","Outstanding","RFI Scheduled"},0)),"Stage 2",""),
IF(ISNUMBER(MATCH('Job Planning'!$J58,{"To Be Signed","Started","Awaiting RFI","Outstanding","RFI Scheduled"},0)),"Stage 3",""),
IF(ISNUMBER(MATCH('Job Planning'!$K58,{"To Be Signed","Started","Awaiting RFI","Outstanding","RFI Scheduled"},0)),"Stage 4",""))</f>
        <v/>
      </c>
      <c r="M58" s="7">
        <f>4-COUNTIF('Job Planning'!$H58:$K58,"N/A")-_xlfn.LET(_xlpm.pending,LEN('Job Planning'!$L58)-LEN(SUBSTITUTE('Job Planning'!$L58,",",""))+1,IF('Job Planning'!$L58="",0,_xlpm.pending))</f>
        <v>4</v>
      </c>
      <c r="N58" s="7">
        <f>_xlfn.LET(_xlpm.pending,LEN('Job Planning'!$L58)-LEN(SUBSTITUTE('Job Planning'!$L58,",",""))+1,IF('Job Planning'!$L58="",0,_xlpm.pending))</f>
        <v>0</v>
      </c>
      <c r="O58" s="7">
        <f>SUM('Job Planning'!$P58:$Q58)</f>
        <v>0</v>
      </c>
      <c r="P58" s="7">
        <f>COUNTIFS('Defect List'!C:C,'Job Planning'!G58,'Defect List'!B:B,"Outstanding",'Defect List'!G:G,"Major")</f>
        <v>0</v>
      </c>
      <c r="Q58" s="7">
        <f>COUNTIFS('Defect List'!C:C,'Job Planning'!G58,'Defect List'!B:B,"Outstanding",'Defect List'!G:G,"Minor")</f>
        <v>0</v>
      </c>
      <c r="R58" s="8" t="str" cm="1">
        <f t="array" ref="R58">_xlfn.TEXTJOIN("
",TRUE,_xlfn._xlws.FILTER('Outstanding Defect (PQ)'!G:G,'Outstanding Defect (PQ)'!B:B='Job Planning'!G58,""))</f>
        <v/>
      </c>
      <c r="S58" s="3"/>
      <c r="T58" s="30" t="str">
        <f>_xlfn.TEXTAFTER(G58,"-",-2)</f>
        <v>SAF-8654</v>
      </c>
      <c r="U58" s="1" t="str">
        <f>IF(_xlfn.XLOOKUP('Job Planning'!$G58,Search!B:B,Search!C:C,"",0)="","",_xlfn.XLOOKUP('Job Planning'!$G58,Search!B:B,Search!C:C,"",0))</f>
        <v/>
      </c>
      <c r="V58" s="1" t="str">
        <f>_xlfn.XLOOKUP('Job Planning'!$T58,Search!A:A,Search!C:C,"",0)</f>
        <v/>
      </c>
      <c r="W58" s="1" t="str">
        <f>_xlfn.XLOOKUP('Job Planning'!$B58,Search!B:B,Search!C:C,"",0)</f>
        <v/>
      </c>
    </row>
    <row r="59" spans="1:23" ht="14.4">
      <c r="A59" s="7" t="s">
        <v>13</v>
      </c>
      <c r="B59" s="7" t="s">
        <v>83</v>
      </c>
      <c r="C59" s="7" t="s">
        <v>8</v>
      </c>
      <c r="D59" s="6" t="str">
        <f>IF(AND('Job Planning'!$L59="",'Job Planning'!$O59=0)=TRUE,"Can Close","Can't")</f>
        <v>Can Close</v>
      </c>
      <c r="E59" s="6" t="str">
        <f>_xlfn.TEXTJOIN(", ",TRUE,IF(N59=0,"","Inspection"),IF('Job Planning'!$O59=0,"","Defect"))</f>
        <v/>
      </c>
      <c r="F59" s="21"/>
      <c r="G59" s="8" t="s">
        <v>342</v>
      </c>
      <c r="H59" s="7" t="s">
        <v>8</v>
      </c>
      <c r="I59" s="7" t="s">
        <v>8</v>
      </c>
      <c r="J59" s="7" t="s">
        <v>8</v>
      </c>
      <c r="K59" s="7" t="s">
        <v>8</v>
      </c>
      <c r="L59" s="19" t="str">
        <f>_xlfn.TEXTJOIN(", ",TRUE,
IF(ISNUMBER(MATCH('Job Planning'!$H59,{"To Be Signed","Started","Awaiting RFI","Outstanding","RFI Scheduled"},0)),"Stage 1",""),
IF(ISNUMBER(MATCH('Job Planning'!$I59,{"To Be Signed","Started","Awaiting RFI","Outstanding","RFI Scheduled"},0)),"Stage 2",""),
IF(ISNUMBER(MATCH('Job Planning'!$J59,{"To Be Signed","Started","Awaiting RFI","Outstanding","RFI Scheduled"},0)),"Stage 3",""),
IF(ISNUMBER(MATCH('Job Planning'!$K59,{"To Be Signed","Started","Awaiting RFI","Outstanding","RFI Scheduled"},0)),"Stage 4",""))</f>
        <v/>
      </c>
      <c r="M59" s="7">
        <f>4-COUNTIF('Job Planning'!$H59:$K59,"N/A")-_xlfn.LET(_xlpm.pending,LEN('Job Planning'!$L59)-LEN(SUBSTITUTE('Job Planning'!$L59,",",""))+1,IF('Job Planning'!$L59="",0,_xlpm.pending))</f>
        <v>4</v>
      </c>
      <c r="N59" s="7">
        <f>_xlfn.LET(_xlpm.pending,LEN('Job Planning'!$L59)-LEN(SUBSTITUTE('Job Planning'!$L59,",",""))+1,IF('Job Planning'!$L59="",0,_xlpm.pending))</f>
        <v>0</v>
      </c>
      <c r="O59" s="7">
        <f>SUM('Job Planning'!$P59:$Q59)</f>
        <v>0</v>
      </c>
      <c r="P59" s="7">
        <f>COUNTIFS('Defect List'!C:C,'Job Planning'!G59,'Defect List'!B:B,"Outstanding",'Defect List'!G:G,"Major")</f>
        <v>0</v>
      </c>
      <c r="Q59" s="7">
        <f>COUNTIFS('Defect List'!C:C,'Job Planning'!G59,'Defect List'!B:B,"Outstanding",'Defect List'!G:G,"Minor")</f>
        <v>0</v>
      </c>
      <c r="R59" s="8" t="str" cm="1">
        <f t="array" ref="R59">_xlfn.TEXTJOIN("
",TRUE,_xlfn._xlws.FILTER('Outstanding Defect (PQ)'!G:G,'Outstanding Defect (PQ)'!B:B='Job Planning'!G59,""))</f>
        <v/>
      </c>
      <c r="S59" s="3"/>
      <c r="T59" s="30" t="str">
        <f>_xlfn.TEXTAFTER(G59,"-",-2)</f>
        <v>SAF-8652</v>
      </c>
      <c r="U59" s="1" t="str">
        <f>IF(_xlfn.XLOOKUP('Job Planning'!$G59,Search!B:B,Search!C:C,"",0)="","",_xlfn.XLOOKUP('Job Planning'!$G59,Search!B:B,Search!C:C,"",0))</f>
        <v/>
      </c>
      <c r="V59" s="1" t="str">
        <f>_xlfn.XLOOKUP('Job Planning'!$T59,Search!A:A,Search!C:C,"",0)</f>
        <v/>
      </c>
      <c r="W59" s="1" t="str">
        <f>_xlfn.XLOOKUP('Job Planning'!$B59,Search!B:B,Search!C:C,"",0)</f>
        <v/>
      </c>
    </row>
    <row r="60" spans="1:23" ht="14.4">
      <c r="A60" s="7" t="s">
        <v>13</v>
      </c>
      <c r="B60" s="7" t="s">
        <v>84</v>
      </c>
      <c r="C60" s="7" t="s">
        <v>8</v>
      </c>
      <c r="D60" s="6" t="str">
        <f>IF(AND('Job Planning'!$L60="",'Job Planning'!$O60=0)=TRUE,"Can Close","Can't")</f>
        <v>Can Close</v>
      </c>
      <c r="E60" s="6" t="str">
        <f>_xlfn.TEXTJOIN(", ",TRUE,IF(N60=0,"","Inspection"),IF('Job Planning'!$O60=0,"","Defect"))</f>
        <v/>
      </c>
      <c r="F60" s="21"/>
      <c r="G60" s="8" t="s">
        <v>343</v>
      </c>
      <c r="H60" s="7" t="s">
        <v>8</v>
      </c>
      <c r="I60" s="7" t="s">
        <v>8</v>
      </c>
      <c r="J60" s="7" t="s">
        <v>8</v>
      </c>
      <c r="K60" s="7" t="s">
        <v>8</v>
      </c>
      <c r="L60" s="19" t="str">
        <f>_xlfn.TEXTJOIN(", ",TRUE,
IF(ISNUMBER(MATCH('Job Planning'!$H60,{"To Be Signed","Started","Awaiting RFI","Outstanding","RFI Scheduled"},0)),"Stage 1",""),
IF(ISNUMBER(MATCH('Job Planning'!$I60,{"To Be Signed","Started","Awaiting RFI","Outstanding","RFI Scheduled"},0)),"Stage 2",""),
IF(ISNUMBER(MATCH('Job Planning'!$J60,{"To Be Signed","Started","Awaiting RFI","Outstanding","RFI Scheduled"},0)),"Stage 3",""),
IF(ISNUMBER(MATCH('Job Planning'!$K60,{"To Be Signed","Started","Awaiting RFI","Outstanding","RFI Scheduled"},0)),"Stage 4",""))</f>
        <v/>
      </c>
      <c r="M60" s="7">
        <f>4-COUNTIF('Job Planning'!$H60:$K60,"N/A")-_xlfn.LET(_xlpm.pending,LEN('Job Planning'!$L60)-LEN(SUBSTITUTE('Job Planning'!$L60,",",""))+1,IF('Job Planning'!$L60="",0,_xlpm.pending))</f>
        <v>4</v>
      </c>
      <c r="N60" s="7">
        <f>_xlfn.LET(_xlpm.pending,LEN('Job Planning'!$L60)-LEN(SUBSTITUTE('Job Planning'!$L60,",",""))+1,IF('Job Planning'!$L60="",0,_xlpm.pending))</f>
        <v>0</v>
      </c>
      <c r="O60" s="7">
        <f>SUM('Job Planning'!$P60:$Q60)</f>
        <v>0</v>
      </c>
      <c r="P60" s="7">
        <f>COUNTIFS('Defect List'!C:C,'Job Planning'!G60,'Defect List'!B:B,"Outstanding",'Defect List'!G:G,"Major")</f>
        <v>0</v>
      </c>
      <c r="Q60" s="7">
        <f>COUNTIFS('Defect List'!C:C,'Job Planning'!G60,'Defect List'!B:B,"Outstanding",'Defect List'!G:G,"Minor")</f>
        <v>0</v>
      </c>
      <c r="R60" s="8" t="str" cm="1">
        <f t="array" ref="R60">_xlfn.TEXTJOIN("
",TRUE,_xlfn._xlws.FILTER('Outstanding Defect (PQ)'!G:G,'Outstanding Defect (PQ)'!B:B='Job Planning'!G60,""))</f>
        <v/>
      </c>
      <c r="S60" s="3"/>
      <c r="T60" s="30" t="str">
        <f>_xlfn.TEXTAFTER(G60,"-",-2)</f>
        <v>SAF-8651</v>
      </c>
      <c r="U60" s="1" t="str">
        <f>IF(_xlfn.XLOOKUP('Job Planning'!$G60,Search!B:B,Search!C:C,"",0)="","",_xlfn.XLOOKUP('Job Planning'!$G60,Search!B:B,Search!C:C,"",0))</f>
        <v/>
      </c>
      <c r="V60" s="1" t="str">
        <f>_xlfn.XLOOKUP('Job Planning'!$T60,Search!A:A,Search!C:C,"",0)</f>
        <v/>
      </c>
      <c r="W60" s="1" t="str">
        <f>_xlfn.XLOOKUP('Job Planning'!$B60,Search!B:B,Search!C:C,"",0)</f>
        <v/>
      </c>
    </row>
    <row r="61" spans="1:23" ht="14.4">
      <c r="A61" s="7" t="s">
        <v>13</v>
      </c>
      <c r="B61" s="7" t="s">
        <v>85</v>
      </c>
      <c r="C61" s="7" t="s">
        <v>8</v>
      </c>
      <c r="D61" s="6" t="str">
        <f>IF(AND('Job Planning'!$L61="",'Job Planning'!$O61=0)=TRUE,"Can Close","Can't")</f>
        <v>Can Close</v>
      </c>
      <c r="E61" s="6" t="str">
        <f>_xlfn.TEXTJOIN(", ",TRUE,IF(N61=0,"","Inspection"),IF('Job Planning'!$O61=0,"","Defect"))</f>
        <v/>
      </c>
      <c r="F61" s="21"/>
      <c r="G61" s="8" t="s">
        <v>344</v>
      </c>
      <c r="H61" s="7" t="s">
        <v>8</v>
      </c>
      <c r="I61" s="7" t="s">
        <v>8</v>
      </c>
      <c r="J61" s="7" t="s">
        <v>8</v>
      </c>
      <c r="K61" s="7" t="s">
        <v>8</v>
      </c>
      <c r="L61" s="19" t="str">
        <f>_xlfn.TEXTJOIN(", ",TRUE,
IF(ISNUMBER(MATCH('Job Planning'!$H61,{"To Be Signed","Started","Awaiting RFI","Outstanding","RFI Scheduled"},0)),"Stage 1",""),
IF(ISNUMBER(MATCH('Job Planning'!$I61,{"To Be Signed","Started","Awaiting RFI","Outstanding","RFI Scheduled"},0)),"Stage 2",""),
IF(ISNUMBER(MATCH('Job Planning'!$J61,{"To Be Signed","Started","Awaiting RFI","Outstanding","RFI Scheduled"},0)),"Stage 3",""),
IF(ISNUMBER(MATCH('Job Planning'!$K61,{"To Be Signed","Started","Awaiting RFI","Outstanding","RFI Scheduled"},0)),"Stage 4",""))</f>
        <v/>
      </c>
      <c r="M61" s="7">
        <f>4-COUNTIF('Job Planning'!$H61:$K61,"N/A")-_xlfn.LET(_xlpm.pending,LEN('Job Planning'!$L61)-LEN(SUBSTITUTE('Job Planning'!$L61,",",""))+1,IF('Job Planning'!$L61="",0,_xlpm.pending))</f>
        <v>4</v>
      </c>
      <c r="N61" s="7">
        <f>_xlfn.LET(_xlpm.pending,LEN('Job Planning'!$L61)-LEN(SUBSTITUTE('Job Planning'!$L61,",",""))+1,IF('Job Planning'!$L61="",0,_xlpm.pending))</f>
        <v>0</v>
      </c>
      <c r="O61" s="7">
        <f>SUM('Job Planning'!$P61:$Q61)</f>
        <v>0</v>
      </c>
      <c r="P61" s="7">
        <f>COUNTIFS('Defect List'!C:C,'Job Planning'!G61,'Defect List'!B:B,"Outstanding",'Defect List'!G:G,"Major")</f>
        <v>0</v>
      </c>
      <c r="Q61" s="7">
        <f>COUNTIFS('Defect List'!C:C,'Job Planning'!G61,'Defect List'!B:B,"Outstanding",'Defect List'!G:G,"Minor")</f>
        <v>0</v>
      </c>
      <c r="R61" s="8" t="str" cm="1">
        <f t="array" ref="R61">_xlfn.TEXTJOIN("
",TRUE,_xlfn._xlws.FILTER('Outstanding Defect (PQ)'!G:G,'Outstanding Defect (PQ)'!B:B='Job Planning'!G61,""))</f>
        <v/>
      </c>
      <c r="S61" s="3"/>
      <c r="T61" s="30" t="str">
        <f>_xlfn.TEXTAFTER(G61,"-",-2)</f>
        <v>SAF-8649</v>
      </c>
      <c r="U61" s="1" t="str">
        <f>IF(_xlfn.XLOOKUP('Job Planning'!$G61,Search!B:B,Search!C:C,"",0)="","",_xlfn.XLOOKUP('Job Planning'!$G61,Search!B:B,Search!C:C,"",0))</f>
        <v/>
      </c>
      <c r="V61" s="1" t="str">
        <f>_xlfn.XLOOKUP('Job Planning'!$T61,Search!A:A,Search!C:C,"",0)</f>
        <v/>
      </c>
      <c r="W61" s="1" t="str">
        <f>_xlfn.XLOOKUP('Job Planning'!$B61,Search!B:B,Search!C:C,"",0)</f>
        <v/>
      </c>
    </row>
    <row r="62" spans="1:23" ht="14.4">
      <c r="A62" s="7" t="s">
        <v>13</v>
      </c>
      <c r="B62" s="7" t="s">
        <v>86</v>
      </c>
      <c r="C62" s="7" t="s">
        <v>8</v>
      </c>
      <c r="D62" s="6" t="str">
        <f>IF(AND('Job Planning'!$L62="",'Job Planning'!$O62=0)=TRUE,"Can Close","Can't")</f>
        <v>Can Close</v>
      </c>
      <c r="E62" s="6" t="str">
        <f>_xlfn.TEXTJOIN(", ",TRUE,IF(N62=0,"","Inspection"),IF('Job Planning'!$O62=0,"","Defect"))</f>
        <v/>
      </c>
      <c r="F62" s="21"/>
      <c r="G62" s="8" t="s">
        <v>345</v>
      </c>
      <c r="H62" s="7" t="s">
        <v>8</v>
      </c>
      <c r="I62" s="7" t="s">
        <v>8</v>
      </c>
      <c r="J62" s="7" t="s">
        <v>8</v>
      </c>
      <c r="K62" s="7" t="s">
        <v>8</v>
      </c>
      <c r="L62" s="19" t="str">
        <f>_xlfn.TEXTJOIN(", ",TRUE,
IF(ISNUMBER(MATCH('Job Planning'!$H62,{"To Be Signed","Started","Awaiting RFI","Outstanding","RFI Scheduled"},0)),"Stage 1",""),
IF(ISNUMBER(MATCH('Job Planning'!$I62,{"To Be Signed","Started","Awaiting RFI","Outstanding","RFI Scheduled"},0)),"Stage 2",""),
IF(ISNUMBER(MATCH('Job Planning'!$J62,{"To Be Signed","Started","Awaiting RFI","Outstanding","RFI Scheduled"},0)),"Stage 3",""),
IF(ISNUMBER(MATCH('Job Planning'!$K62,{"To Be Signed","Started","Awaiting RFI","Outstanding","RFI Scheduled"},0)),"Stage 4",""))</f>
        <v/>
      </c>
      <c r="M62" s="7">
        <f>4-COUNTIF('Job Planning'!$H62:$K62,"N/A")-_xlfn.LET(_xlpm.pending,LEN('Job Planning'!$L62)-LEN(SUBSTITUTE('Job Planning'!$L62,",",""))+1,IF('Job Planning'!$L62="",0,_xlpm.pending))</f>
        <v>4</v>
      </c>
      <c r="N62" s="7">
        <f>_xlfn.LET(_xlpm.pending,LEN('Job Planning'!$L62)-LEN(SUBSTITUTE('Job Planning'!$L62,",",""))+1,IF('Job Planning'!$L62="",0,_xlpm.pending))</f>
        <v>0</v>
      </c>
      <c r="O62" s="7">
        <f>SUM('Job Planning'!$P62:$Q62)</f>
        <v>0</v>
      </c>
      <c r="P62" s="7">
        <f>COUNTIFS('Defect List'!C:C,'Job Planning'!G62,'Defect List'!B:B,"Outstanding",'Defect List'!G:G,"Major")</f>
        <v>0</v>
      </c>
      <c r="Q62" s="7">
        <f>COUNTIFS('Defect List'!C:C,'Job Planning'!G62,'Defect List'!B:B,"Outstanding",'Defect List'!G:G,"Minor")</f>
        <v>0</v>
      </c>
      <c r="R62" s="8" t="str" cm="1">
        <f t="array" ref="R62">_xlfn.TEXTJOIN("
",TRUE,_xlfn._xlws.FILTER('Outstanding Defect (PQ)'!G:G,'Outstanding Defect (PQ)'!B:B='Job Planning'!G62,""))</f>
        <v/>
      </c>
      <c r="S62" s="3"/>
      <c r="T62" s="30" t="str">
        <f>_xlfn.TEXTAFTER(G62,"-",-2)</f>
        <v>SAF-8648</v>
      </c>
      <c r="U62" s="1" t="str">
        <f>IF(_xlfn.XLOOKUP('Job Planning'!$G62,Search!B:B,Search!C:C,"",0)="","",_xlfn.XLOOKUP('Job Planning'!$G62,Search!B:B,Search!C:C,"",0))</f>
        <v/>
      </c>
      <c r="V62" s="1" t="str">
        <f>_xlfn.XLOOKUP('Job Planning'!$T62,Search!A:A,Search!C:C,"",0)</f>
        <v/>
      </c>
      <c r="W62" s="1" t="str">
        <f>_xlfn.XLOOKUP('Job Planning'!$B62,Search!B:B,Search!C:C,"",0)</f>
        <v/>
      </c>
    </row>
    <row r="63" spans="1:23" ht="14.4">
      <c r="A63" s="7" t="s">
        <v>13</v>
      </c>
      <c r="B63" s="7" t="s">
        <v>87</v>
      </c>
      <c r="C63" s="7" t="s">
        <v>8</v>
      </c>
      <c r="D63" s="6" t="str">
        <f>IF(AND('Job Planning'!$L63="",'Job Planning'!$O63=0)=TRUE,"Can Close","Can't")</f>
        <v>Can Close</v>
      </c>
      <c r="E63" s="6" t="str">
        <f>_xlfn.TEXTJOIN(", ",TRUE,IF(N63=0,"","Inspection"),IF('Job Planning'!$O63=0,"","Defect"))</f>
        <v/>
      </c>
      <c r="F63" s="21"/>
      <c r="G63" s="8" t="s">
        <v>346</v>
      </c>
      <c r="H63" s="7" t="s">
        <v>8</v>
      </c>
      <c r="I63" s="7" t="s">
        <v>8</v>
      </c>
      <c r="J63" s="7" t="s">
        <v>8</v>
      </c>
      <c r="K63" s="7" t="s">
        <v>8</v>
      </c>
      <c r="L63" s="19" t="str">
        <f>_xlfn.TEXTJOIN(", ",TRUE,
IF(ISNUMBER(MATCH('Job Planning'!$H63,{"To Be Signed","Started","Awaiting RFI","Outstanding","RFI Scheduled"},0)),"Stage 1",""),
IF(ISNUMBER(MATCH('Job Planning'!$I63,{"To Be Signed","Started","Awaiting RFI","Outstanding","RFI Scheduled"},0)),"Stage 2",""),
IF(ISNUMBER(MATCH('Job Planning'!$J63,{"To Be Signed","Started","Awaiting RFI","Outstanding","RFI Scheduled"},0)),"Stage 3",""),
IF(ISNUMBER(MATCH('Job Planning'!$K63,{"To Be Signed","Started","Awaiting RFI","Outstanding","RFI Scheduled"},0)),"Stage 4",""))</f>
        <v/>
      </c>
      <c r="M63" s="7">
        <f>4-COUNTIF('Job Planning'!$H63:$K63,"N/A")-_xlfn.LET(_xlpm.pending,LEN('Job Planning'!$L63)-LEN(SUBSTITUTE('Job Planning'!$L63,",",""))+1,IF('Job Planning'!$L63="",0,_xlpm.pending))</f>
        <v>4</v>
      </c>
      <c r="N63" s="7">
        <f>_xlfn.LET(_xlpm.pending,LEN('Job Planning'!$L63)-LEN(SUBSTITUTE('Job Planning'!$L63,",",""))+1,IF('Job Planning'!$L63="",0,_xlpm.pending))</f>
        <v>0</v>
      </c>
      <c r="O63" s="7">
        <f>SUM('Job Planning'!$P63:$Q63)</f>
        <v>0</v>
      </c>
      <c r="P63" s="7">
        <f>COUNTIFS('Defect List'!C:C,'Job Planning'!G63,'Defect List'!B:B,"Outstanding",'Defect List'!G:G,"Major")</f>
        <v>0</v>
      </c>
      <c r="Q63" s="7">
        <f>COUNTIFS('Defect List'!C:C,'Job Planning'!G63,'Defect List'!B:B,"Outstanding",'Defect List'!G:G,"Minor")</f>
        <v>0</v>
      </c>
      <c r="R63" s="8" t="str" cm="1">
        <f t="array" ref="R63">_xlfn.TEXTJOIN("
",TRUE,_xlfn._xlws.FILTER('Outstanding Defect (PQ)'!G:G,'Outstanding Defect (PQ)'!B:B='Job Planning'!G63,""))</f>
        <v/>
      </c>
      <c r="S63" s="3"/>
      <c r="T63" s="30" t="str">
        <f>_xlfn.TEXTAFTER(G63,"-",-2)</f>
        <v>SAF-8646</v>
      </c>
      <c r="U63" s="1" t="str">
        <f>IF(_xlfn.XLOOKUP('Job Planning'!$G63,Search!B:B,Search!C:C,"",0)="","",_xlfn.XLOOKUP('Job Planning'!$G63,Search!B:B,Search!C:C,"",0))</f>
        <v/>
      </c>
      <c r="V63" s="1" t="str">
        <f>_xlfn.XLOOKUP('Job Planning'!$T63,Search!A:A,Search!C:C,"",0)</f>
        <v/>
      </c>
      <c r="W63" s="1" t="str">
        <f>_xlfn.XLOOKUP('Job Planning'!$B63,Search!B:B,Search!C:C,"",0)</f>
        <v/>
      </c>
    </row>
    <row r="64" spans="1:23" ht="14.4">
      <c r="A64" s="7" t="s">
        <v>13</v>
      </c>
      <c r="B64" s="7" t="s">
        <v>88</v>
      </c>
      <c r="C64" s="7" t="s">
        <v>8</v>
      </c>
      <c r="D64" s="6" t="str">
        <f>IF(AND('Job Planning'!$L64="",'Job Planning'!$O64=0)=TRUE,"Can Close","Can't")</f>
        <v>Can Close</v>
      </c>
      <c r="E64" s="6" t="str">
        <f>_xlfn.TEXTJOIN(", ",TRUE,IF(N64=0,"","Inspection"),IF('Job Planning'!$O64=0,"","Defect"))</f>
        <v/>
      </c>
      <c r="F64" s="21"/>
      <c r="G64" s="8" t="s">
        <v>347</v>
      </c>
      <c r="H64" s="7" t="s">
        <v>8</v>
      </c>
      <c r="I64" s="7" t="s">
        <v>8</v>
      </c>
      <c r="J64" s="7" t="s">
        <v>8</v>
      </c>
      <c r="K64" s="7" t="s">
        <v>8</v>
      </c>
      <c r="L64" s="19" t="str">
        <f>_xlfn.TEXTJOIN(", ",TRUE,
IF(ISNUMBER(MATCH('Job Planning'!$H64,{"To Be Signed","Started","Awaiting RFI","Outstanding","RFI Scheduled"},0)),"Stage 1",""),
IF(ISNUMBER(MATCH('Job Planning'!$I64,{"To Be Signed","Started","Awaiting RFI","Outstanding","RFI Scheduled"},0)),"Stage 2",""),
IF(ISNUMBER(MATCH('Job Planning'!$J64,{"To Be Signed","Started","Awaiting RFI","Outstanding","RFI Scheduled"},0)),"Stage 3",""),
IF(ISNUMBER(MATCH('Job Planning'!$K64,{"To Be Signed","Started","Awaiting RFI","Outstanding","RFI Scheduled"},0)),"Stage 4",""))</f>
        <v/>
      </c>
      <c r="M64" s="7">
        <f>4-COUNTIF('Job Planning'!$H64:$K64,"N/A")-_xlfn.LET(_xlpm.pending,LEN('Job Planning'!$L64)-LEN(SUBSTITUTE('Job Planning'!$L64,",",""))+1,IF('Job Planning'!$L64="",0,_xlpm.pending))</f>
        <v>4</v>
      </c>
      <c r="N64" s="7">
        <f>_xlfn.LET(_xlpm.pending,LEN('Job Planning'!$L64)-LEN(SUBSTITUTE('Job Planning'!$L64,",",""))+1,IF('Job Planning'!$L64="",0,_xlpm.pending))</f>
        <v>0</v>
      </c>
      <c r="O64" s="7">
        <f>SUM('Job Planning'!$P64:$Q64)</f>
        <v>0</v>
      </c>
      <c r="P64" s="7">
        <f>COUNTIFS('Defect List'!C:C,'Job Planning'!G64,'Defect List'!B:B,"Outstanding",'Defect List'!G:G,"Major")</f>
        <v>0</v>
      </c>
      <c r="Q64" s="7">
        <f>COUNTIFS('Defect List'!C:C,'Job Planning'!G64,'Defect List'!B:B,"Outstanding",'Defect List'!G:G,"Minor")</f>
        <v>0</v>
      </c>
      <c r="R64" s="8" t="str" cm="1">
        <f t="array" ref="R64">_xlfn.TEXTJOIN("
",TRUE,_xlfn._xlws.FILTER('Outstanding Defect (PQ)'!G:G,'Outstanding Defect (PQ)'!B:B='Job Planning'!G64,""))</f>
        <v/>
      </c>
      <c r="S64" s="3"/>
      <c r="T64" s="30" t="str">
        <f>_xlfn.TEXTAFTER(G64,"-",-2)</f>
        <v>SAF-8645</v>
      </c>
      <c r="U64" s="1" t="str">
        <f>IF(_xlfn.XLOOKUP('Job Planning'!$G64,Search!B:B,Search!C:C,"",0)="","",_xlfn.XLOOKUP('Job Planning'!$G64,Search!B:B,Search!C:C,"",0))</f>
        <v/>
      </c>
      <c r="V64" s="1" t="str">
        <f>_xlfn.XLOOKUP('Job Planning'!$T64,Search!A:A,Search!C:C,"",0)</f>
        <v/>
      </c>
      <c r="W64" s="1" t="str">
        <f>_xlfn.XLOOKUP('Job Planning'!$B64,Search!B:B,Search!C:C,"",0)</f>
        <v/>
      </c>
    </row>
    <row r="65" spans="1:23" ht="14.4">
      <c r="A65" s="7" t="s">
        <v>13</v>
      </c>
      <c r="B65" s="7" t="s">
        <v>89</v>
      </c>
      <c r="C65" s="7" t="s">
        <v>8</v>
      </c>
      <c r="D65" s="6" t="str">
        <f>IF(AND('Job Planning'!$L65="",'Job Planning'!$O65=0)=TRUE,"Can Close","Can't")</f>
        <v>Can Close</v>
      </c>
      <c r="E65" s="6" t="str">
        <f>_xlfn.TEXTJOIN(", ",TRUE,IF(N65=0,"","Inspection"),IF('Job Planning'!$O65=0,"","Defect"))</f>
        <v/>
      </c>
      <c r="F65" s="21"/>
      <c r="G65" s="8" t="s">
        <v>348</v>
      </c>
      <c r="H65" s="7" t="s">
        <v>8</v>
      </c>
      <c r="I65" s="7" t="s">
        <v>8</v>
      </c>
      <c r="J65" s="7" t="s">
        <v>8</v>
      </c>
      <c r="K65" s="7" t="s">
        <v>8</v>
      </c>
      <c r="L65" s="19" t="str">
        <f>_xlfn.TEXTJOIN(", ",TRUE,
IF(ISNUMBER(MATCH('Job Planning'!$H65,{"To Be Signed","Started","Awaiting RFI","Outstanding","RFI Scheduled"},0)),"Stage 1",""),
IF(ISNUMBER(MATCH('Job Planning'!$I65,{"To Be Signed","Started","Awaiting RFI","Outstanding","RFI Scheduled"},0)),"Stage 2",""),
IF(ISNUMBER(MATCH('Job Planning'!$J65,{"To Be Signed","Started","Awaiting RFI","Outstanding","RFI Scheduled"},0)),"Stage 3",""),
IF(ISNUMBER(MATCH('Job Planning'!$K65,{"To Be Signed","Started","Awaiting RFI","Outstanding","RFI Scheduled"},0)),"Stage 4",""))</f>
        <v/>
      </c>
      <c r="M65" s="7">
        <f>4-COUNTIF('Job Planning'!$H65:$K65,"N/A")-_xlfn.LET(_xlpm.pending,LEN('Job Planning'!$L65)-LEN(SUBSTITUTE('Job Planning'!$L65,",",""))+1,IF('Job Planning'!$L65="",0,_xlpm.pending))</f>
        <v>4</v>
      </c>
      <c r="N65" s="7">
        <f>_xlfn.LET(_xlpm.pending,LEN('Job Planning'!$L65)-LEN(SUBSTITUTE('Job Planning'!$L65,",",""))+1,IF('Job Planning'!$L65="",0,_xlpm.pending))</f>
        <v>0</v>
      </c>
      <c r="O65" s="7">
        <f>SUM('Job Planning'!$P65:$Q65)</f>
        <v>0</v>
      </c>
      <c r="P65" s="7">
        <f>COUNTIFS('Defect List'!C:C,'Job Planning'!G65,'Defect List'!B:B,"Outstanding",'Defect List'!G:G,"Major")</f>
        <v>0</v>
      </c>
      <c r="Q65" s="7">
        <f>COUNTIFS('Defect List'!C:C,'Job Planning'!G65,'Defect List'!B:B,"Outstanding",'Defect List'!G:G,"Minor")</f>
        <v>0</v>
      </c>
      <c r="R65" s="8" t="str" cm="1">
        <f t="array" ref="R65">_xlfn.TEXTJOIN("
",TRUE,_xlfn._xlws.FILTER('Outstanding Defect (PQ)'!G:G,'Outstanding Defect (PQ)'!B:B='Job Planning'!G65,""))</f>
        <v/>
      </c>
      <c r="S65" s="3"/>
      <c r="T65" s="30" t="str">
        <f>_xlfn.TEXTAFTER(G65,"-",-2)</f>
        <v>SAF-8643</v>
      </c>
      <c r="U65" s="1" t="str">
        <f>IF(_xlfn.XLOOKUP('Job Planning'!$G65,Search!B:B,Search!C:C,"",0)="","",_xlfn.XLOOKUP('Job Planning'!$G65,Search!B:B,Search!C:C,"",0))</f>
        <v/>
      </c>
      <c r="V65" s="1" t="str">
        <f>_xlfn.XLOOKUP('Job Planning'!$T65,Search!A:A,Search!C:C,"",0)</f>
        <v/>
      </c>
      <c r="W65" s="1" t="str">
        <f>_xlfn.XLOOKUP('Job Planning'!$B65,Search!B:B,Search!C:C,"",0)</f>
        <v/>
      </c>
    </row>
    <row r="66" spans="1:23" ht="14.4">
      <c r="A66" s="7" t="s">
        <v>13</v>
      </c>
      <c r="B66" s="7" t="s">
        <v>90</v>
      </c>
      <c r="C66" s="7" t="s">
        <v>8</v>
      </c>
      <c r="D66" s="6" t="str">
        <f>IF(AND('Job Planning'!$L66="",'Job Planning'!$O66=0)=TRUE,"Can Close","Can't")</f>
        <v>Can Close</v>
      </c>
      <c r="E66" s="6" t="str">
        <f>_xlfn.TEXTJOIN(", ",TRUE,IF(N66=0,"","Inspection"),IF('Job Planning'!$O66=0,"","Defect"))</f>
        <v/>
      </c>
      <c r="F66" s="21"/>
      <c r="G66" s="8" t="s">
        <v>349</v>
      </c>
      <c r="H66" s="7" t="s">
        <v>8</v>
      </c>
      <c r="I66" s="7" t="s">
        <v>8</v>
      </c>
      <c r="J66" s="7" t="s">
        <v>8</v>
      </c>
      <c r="K66" s="7" t="s">
        <v>8</v>
      </c>
      <c r="L66" s="19" t="str">
        <f>_xlfn.TEXTJOIN(", ",TRUE,
IF(ISNUMBER(MATCH('Job Planning'!$H66,{"To Be Signed","Started","Awaiting RFI","Outstanding","RFI Scheduled"},0)),"Stage 1",""),
IF(ISNUMBER(MATCH('Job Planning'!$I66,{"To Be Signed","Started","Awaiting RFI","Outstanding","RFI Scheduled"},0)),"Stage 2",""),
IF(ISNUMBER(MATCH('Job Planning'!$J66,{"To Be Signed","Started","Awaiting RFI","Outstanding","RFI Scheduled"},0)),"Stage 3",""),
IF(ISNUMBER(MATCH('Job Planning'!$K66,{"To Be Signed","Started","Awaiting RFI","Outstanding","RFI Scheduled"},0)),"Stage 4",""))</f>
        <v/>
      </c>
      <c r="M66" s="7">
        <f>4-COUNTIF('Job Planning'!$H66:$K66,"N/A")-_xlfn.LET(_xlpm.pending,LEN('Job Planning'!$L66)-LEN(SUBSTITUTE('Job Planning'!$L66,",",""))+1,IF('Job Planning'!$L66="",0,_xlpm.pending))</f>
        <v>4</v>
      </c>
      <c r="N66" s="7">
        <f>_xlfn.LET(_xlpm.pending,LEN('Job Planning'!$L66)-LEN(SUBSTITUTE('Job Planning'!$L66,",",""))+1,IF('Job Planning'!$L66="",0,_xlpm.pending))</f>
        <v>0</v>
      </c>
      <c r="O66" s="7">
        <f>SUM('Job Planning'!$P66:$Q66)</f>
        <v>0</v>
      </c>
      <c r="P66" s="7">
        <f>COUNTIFS('Defect List'!C:C,'Job Planning'!G66,'Defect List'!B:B,"Outstanding",'Defect List'!G:G,"Major")</f>
        <v>0</v>
      </c>
      <c r="Q66" s="7">
        <f>COUNTIFS('Defect List'!C:C,'Job Planning'!G66,'Defect List'!B:B,"Outstanding",'Defect List'!G:G,"Minor")</f>
        <v>0</v>
      </c>
      <c r="R66" s="8" t="str" cm="1">
        <f t="array" ref="R66">_xlfn.TEXTJOIN("
",TRUE,_xlfn._xlws.FILTER('Outstanding Defect (PQ)'!G:G,'Outstanding Defect (PQ)'!B:B='Job Planning'!G66,""))</f>
        <v/>
      </c>
      <c r="S66" s="3"/>
      <c r="T66" s="30" t="str">
        <f>_xlfn.TEXTAFTER(G66,"-",-2)</f>
        <v>SAF-8642</v>
      </c>
      <c r="U66" s="1" t="str">
        <f>IF(_xlfn.XLOOKUP('Job Planning'!$G66,Search!B:B,Search!C:C,"",0)="","",_xlfn.XLOOKUP('Job Planning'!$G66,Search!B:B,Search!C:C,"",0))</f>
        <v/>
      </c>
      <c r="V66" s="1" t="str">
        <f>_xlfn.XLOOKUP('Job Planning'!$T66,Search!A:A,Search!C:C,"",0)</f>
        <v/>
      </c>
      <c r="W66" s="1" t="str">
        <f>_xlfn.XLOOKUP('Job Planning'!$B66,Search!B:B,Search!C:C,"",0)</f>
        <v/>
      </c>
    </row>
    <row r="67" spans="1:23" ht="14.4">
      <c r="A67" s="7" t="s">
        <v>13</v>
      </c>
      <c r="B67" s="7" t="s">
        <v>91</v>
      </c>
      <c r="C67" s="7" t="s">
        <v>8</v>
      </c>
      <c r="D67" s="6" t="str">
        <f>IF(AND('Job Planning'!$L67="",'Job Planning'!$O67=0)=TRUE,"Can Close","Can't")</f>
        <v>Can Close</v>
      </c>
      <c r="E67" s="6" t="str">
        <f>_xlfn.TEXTJOIN(", ",TRUE,IF(N67=0,"","Inspection"),IF('Job Planning'!$O67=0,"","Defect"))</f>
        <v/>
      </c>
      <c r="F67" s="21"/>
      <c r="G67" s="8" t="s">
        <v>350</v>
      </c>
      <c r="H67" s="7" t="s">
        <v>8</v>
      </c>
      <c r="I67" s="7" t="s">
        <v>8</v>
      </c>
      <c r="J67" s="7" t="s">
        <v>8</v>
      </c>
      <c r="K67" s="7" t="s">
        <v>8</v>
      </c>
      <c r="L67" s="19" t="str">
        <f>_xlfn.TEXTJOIN(", ",TRUE,
IF(ISNUMBER(MATCH('Job Planning'!$H67,{"To Be Signed","Started","Awaiting RFI","Outstanding","RFI Scheduled"},0)),"Stage 1",""),
IF(ISNUMBER(MATCH('Job Planning'!$I67,{"To Be Signed","Started","Awaiting RFI","Outstanding","RFI Scheduled"},0)),"Stage 2",""),
IF(ISNUMBER(MATCH('Job Planning'!$J67,{"To Be Signed","Started","Awaiting RFI","Outstanding","RFI Scheduled"},0)),"Stage 3",""),
IF(ISNUMBER(MATCH('Job Planning'!$K67,{"To Be Signed","Started","Awaiting RFI","Outstanding","RFI Scheduled"},0)),"Stage 4",""))</f>
        <v/>
      </c>
      <c r="M67" s="7">
        <f>4-COUNTIF('Job Planning'!$H67:$K67,"N/A")-_xlfn.LET(_xlpm.pending,LEN('Job Planning'!$L67)-LEN(SUBSTITUTE('Job Planning'!$L67,",",""))+1,IF('Job Planning'!$L67="",0,_xlpm.pending))</f>
        <v>4</v>
      </c>
      <c r="N67" s="7">
        <f>_xlfn.LET(_xlpm.pending,LEN('Job Planning'!$L67)-LEN(SUBSTITUTE('Job Planning'!$L67,",",""))+1,IF('Job Planning'!$L67="",0,_xlpm.pending))</f>
        <v>0</v>
      </c>
      <c r="O67" s="7">
        <f>SUM('Job Planning'!$P67:$Q67)</f>
        <v>0</v>
      </c>
      <c r="P67" s="7">
        <f>COUNTIFS('Defect List'!C:C,'Job Planning'!G67,'Defect List'!B:B,"Outstanding",'Defect List'!G:G,"Major")</f>
        <v>0</v>
      </c>
      <c r="Q67" s="7">
        <f>COUNTIFS('Defect List'!C:C,'Job Planning'!G67,'Defect List'!B:B,"Outstanding",'Defect List'!G:G,"Minor")</f>
        <v>0</v>
      </c>
      <c r="R67" s="8" t="str" cm="1">
        <f t="array" ref="R67">_xlfn.TEXTJOIN("
",TRUE,_xlfn._xlws.FILTER('Outstanding Defect (PQ)'!G:G,'Outstanding Defect (PQ)'!B:B='Job Planning'!G67,""))</f>
        <v/>
      </c>
      <c r="S67" s="3"/>
      <c r="T67" s="30" t="str">
        <f>_xlfn.TEXTAFTER(G67,"-",-2)</f>
        <v>SAF-8640</v>
      </c>
      <c r="U67" s="1" t="str">
        <f>IF(_xlfn.XLOOKUP('Job Planning'!$G67,Search!B:B,Search!C:C,"",0)="","",_xlfn.XLOOKUP('Job Planning'!$G67,Search!B:B,Search!C:C,"",0))</f>
        <v/>
      </c>
      <c r="V67" s="1" t="str">
        <f>_xlfn.XLOOKUP('Job Planning'!$T67,Search!A:A,Search!C:C,"",0)</f>
        <v/>
      </c>
      <c r="W67" s="1" t="str">
        <f>_xlfn.XLOOKUP('Job Planning'!$B67,Search!B:B,Search!C:C,"",0)</f>
        <v/>
      </c>
    </row>
    <row r="68" spans="1:23" ht="14.4">
      <c r="A68" s="7" t="s">
        <v>13</v>
      </c>
      <c r="B68" s="7" t="s">
        <v>92</v>
      </c>
      <c r="C68" s="7" t="s">
        <v>8</v>
      </c>
      <c r="D68" s="6" t="str">
        <f>IF(AND('Job Planning'!$L68="",'Job Planning'!$O68=0)=TRUE,"Can Close","Can't")</f>
        <v>Can Close</v>
      </c>
      <c r="E68" s="6" t="str">
        <f>_xlfn.TEXTJOIN(", ",TRUE,IF(N68=0,"","Inspection"),IF('Job Planning'!$O68=0,"","Defect"))</f>
        <v/>
      </c>
      <c r="F68" s="21"/>
      <c r="G68" s="8" t="s">
        <v>351</v>
      </c>
      <c r="H68" s="7" t="s">
        <v>8</v>
      </c>
      <c r="I68" s="7" t="s">
        <v>8</v>
      </c>
      <c r="J68" s="7" t="s">
        <v>8</v>
      </c>
      <c r="K68" s="7" t="s">
        <v>8</v>
      </c>
      <c r="L68" s="19" t="str">
        <f>_xlfn.TEXTJOIN(", ",TRUE,
IF(ISNUMBER(MATCH('Job Planning'!$H68,{"To Be Signed","Started","Awaiting RFI","Outstanding","RFI Scheduled"},0)),"Stage 1",""),
IF(ISNUMBER(MATCH('Job Planning'!$I68,{"To Be Signed","Started","Awaiting RFI","Outstanding","RFI Scheduled"},0)),"Stage 2",""),
IF(ISNUMBER(MATCH('Job Planning'!$J68,{"To Be Signed","Started","Awaiting RFI","Outstanding","RFI Scheduled"},0)),"Stage 3",""),
IF(ISNUMBER(MATCH('Job Planning'!$K68,{"To Be Signed","Started","Awaiting RFI","Outstanding","RFI Scheduled"},0)),"Stage 4",""))</f>
        <v/>
      </c>
      <c r="M68" s="7">
        <f>4-COUNTIF('Job Planning'!$H68:$K68,"N/A")-_xlfn.LET(_xlpm.pending,LEN('Job Planning'!$L68)-LEN(SUBSTITUTE('Job Planning'!$L68,",",""))+1,IF('Job Planning'!$L68="",0,_xlpm.pending))</f>
        <v>4</v>
      </c>
      <c r="N68" s="7">
        <f>_xlfn.LET(_xlpm.pending,LEN('Job Planning'!$L68)-LEN(SUBSTITUTE('Job Planning'!$L68,",",""))+1,IF('Job Planning'!$L68="",0,_xlpm.pending))</f>
        <v>0</v>
      </c>
      <c r="O68" s="7">
        <f>SUM('Job Planning'!$P68:$Q68)</f>
        <v>0</v>
      </c>
      <c r="P68" s="7">
        <f>COUNTIFS('Defect List'!C:C,'Job Planning'!G68,'Defect List'!B:B,"Outstanding",'Defect List'!G:G,"Major")</f>
        <v>0</v>
      </c>
      <c r="Q68" s="7">
        <f>COUNTIFS('Defect List'!C:C,'Job Planning'!G68,'Defect List'!B:B,"Outstanding",'Defect List'!G:G,"Minor")</f>
        <v>0</v>
      </c>
      <c r="R68" s="8" t="str" cm="1">
        <f t="array" ref="R68">_xlfn.TEXTJOIN("
",TRUE,_xlfn._xlws.FILTER('Outstanding Defect (PQ)'!G:G,'Outstanding Defect (PQ)'!B:B='Job Planning'!G68,""))</f>
        <v/>
      </c>
      <c r="S68" s="3"/>
      <c r="T68" s="30" t="str">
        <f>_xlfn.TEXTAFTER(G68,"-",-2)</f>
        <v>SAF-8639</v>
      </c>
      <c r="U68" s="1" t="str">
        <f>IF(_xlfn.XLOOKUP('Job Planning'!$G68,Search!B:B,Search!C:C,"",0)="","",_xlfn.XLOOKUP('Job Planning'!$G68,Search!B:B,Search!C:C,"",0))</f>
        <v/>
      </c>
      <c r="V68" s="1" t="str">
        <f>_xlfn.XLOOKUP('Job Planning'!$T68,Search!A:A,Search!C:C,"",0)</f>
        <v/>
      </c>
      <c r="W68" s="1" t="str">
        <f>_xlfn.XLOOKUP('Job Planning'!$B68,Search!B:B,Search!C:C,"",0)</f>
        <v/>
      </c>
    </row>
    <row r="69" spans="1:23" ht="14.4">
      <c r="A69" s="7" t="s">
        <v>13</v>
      </c>
      <c r="B69" s="7" t="s">
        <v>93</v>
      </c>
      <c r="C69" s="7" t="s">
        <v>8</v>
      </c>
      <c r="D69" s="6" t="str">
        <f>IF(AND('Job Planning'!$L69="",'Job Planning'!$O69=0)=TRUE,"Can Close","Can't")</f>
        <v>Can Close</v>
      </c>
      <c r="E69" s="6" t="str">
        <f>_xlfn.TEXTJOIN(", ",TRUE,IF(N69=0,"","Inspection"),IF('Job Planning'!$O69=0,"","Defect"))</f>
        <v/>
      </c>
      <c r="F69" s="21"/>
      <c r="G69" s="8" t="s">
        <v>352</v>
      </c>
      <c r="H69" s="7" t="s">
        <v>8</v>
      </c>
      <c r="I69" s="7" t="s">
        <v>8</v>
      </c>
      <c r="J69" s="7" t="s">
        <v>8</v>
      </c>
      <c r="K69" s="7" t="s">
        <v>8</v>
      </c>
      <c r="L69" s="19" t="str">
        <f>_xlfn.TEXTJOIN(", ",TRUE,
IF(ISNUMBER(MATCH('Job Planning'!$H69,{"To Be Signed","Started","Awaiting RFI","Outstanding","RFI Scheduled"},0)),"Stage 1",""),
IF(ISNUMBER(MATCH('Job Planning'!$I69,{"To Be Signed","Started","Awaiting RFI","Outstanding","RFI Scheduled"},0)),"Stage 2",""),
IF(ISNUMBER(MATCH('Job Planning'!$J69,{"To Be Signed","Started","Awaiting RFI","Outstanding","RFI Scheduled"},0)),"Stage 3",""),
IF(ISNUMBER(MATCH('Job Planning'!$K69,{"To Be Signed","Started","Awaiting RFI","Outstanding","RFI Scheduled"},0)),"Stage 4",""))</f>
        <v/>
      </c>
      <c r="M69" s="7">
        <f>4-COUNTIF('Job Planning'!$H69:$K69,"N/A")-_xlfn.LET(_xlpm.pending,LEN('Job Planning'!$L69)-LEN(SUBSTITUTE('Job Planning'!$L69,",",""))+1,IF('Job Planning'!$L69="",0,_xlpm.pending))</f>
        <v>4</v>
      </c>
      <c r="N69" s="7">
        <f>_xlfn.LET(_xlpm.pending,LEN('Job Planning'!$L69)-LEN(SUBSTITUTE('Job Planning'!$L69,",",""))+1,IF('Job Planning'!$L69="",0,_xlpm.pending))</f>
        <v>0</v>
      </c>
      <c r="O69" s="7">
        <f>SUM('Job Planning'!$P69:$Q69)</f>
        <v>0</v>
      </c>
      <c r="P69" s="7">
        <f>COUNTIFS('Defect List'!C:C,'Job Planning'!G69,'Defect List'!B:B,"Outstanding",'Defect List'!G:G,"Major")</f>
        <v>0</v>
      </c>
      <c r="Q69" s="7">
        <f>COUNTIFS('Defect List'!C:C,'Job Planning'!G69,'Defect List'!B:B,"Outstanding",'Defect List'!G:G,"Minor")</f>
        <v>0</v>
      </c>
      <c r="R69" s="8" t="str" cm="1">
        <f t="array" ref="R69">_xlfn.TEXTJOIN("
",TRUE,_xlfn._xlws.FILTER('Outstanding Defect (PQ)'!G:G,'Outstanding Defect (PQ)'!B:B='Job Planning'!G69,""))</f>
        <v/>
      </c>
      <c r="S69" s="3"/>
      <c r="T69" s="30" t="str">
        <f>_xlfn.TEXTAFTER(G69,"-",-2)</f>
        <v>SAF-8637</v>
      </c>
      <c r="U69" s="1" t="str">
        <f>IF(_xlfn.XLOOKUP('Job Planning'!$G69,Search!B:B,Search!C:C,"",0)="","",_xlfn.XLOOKUP('Job Planning'!$G69,Search!B:B,Search!C:C,"",0))</f>
        <v/>
      </c>
      <c r="V69" s="1" t="str">
        <f>_xlfn.XLOOKUP('Job Planning'!$T69,Search!A:A,Search!C:C,"",0)</f>
        <v/>
      </c>
      <c r="W69" s="1" t="str">
        <f>_xlfn.XLOOKUP('Job Planning'!$B69,Search!B:B,Search!C:C,"",0)</f>
        <v/>
      </c>
    </row>
    <row r="70" spans="1:23" ht="14.4">
      <c r="A70" s="7" t="s">
        <v>13</v>
      </c>
      <c r="B70" s="7" t="s">
        <v>94</v>
      </c>
      <c r="C70" s="7" t="s">
        <v>8</v>
      </c>
      <c r="D70" s="6" t="str">
        <f>IF(AND('Job Planning'!$L70="",'Job Planning'!$O70=0)=TRUE,"Can Close","Can't")</f>
        <v>Can Close</v>
      </c>
      <c r="E70" s="6" t="str">
        <f>_xlfn.TEXTJOIN(", ",TRUE,IF(N70=0,"","Inspection"),IF('Job Planning'!$O70=0,"","Defect"))</f>
        <v/>
      </c>
      <c r="F70" s="21"/>
      <c r="G70" s="8" t="s">
        <v>353</v>
      </c>
      <c r="H70" s="7" t="s">
        <v>8</v>
      </c>
      <c r="I70" s="7" t="s">
        <v>8</v>
      </c>
      <c r="J70" s="7" t="s">
        <v>8</v>
      </c>
      <c r="K70" s="7" t="s">
        <v>8</v>
      </c>
      <c r="L70" s="19" t="str">
        <f>_xlfn.TEXTJOIN(", ",TRUE,
IF(ISNUMBER(MATCH('Job Planning'!$H70,{"To Be Signed","Started","Awaiting RFI","Outstanding","RFI Scheduled"},0)),"Stage 1",""),
IF(ISNUMBER(MATCH('Job Planning'!$I70,{"To Be Signed","Started","Awaiting RFI","Outstanding","RFI Scheduled"},0)),"Stage 2",""),
IF(ISNUMBER(MATCH('Job Planning'!$J70,{"To Be Signed","Started","Awaiting RFI","Outstanding","RFI Scheduled"},0)),"Stage 3",""),
IF(ISNUMBER(MATCH('Job Planning'!$K70,{"To Be Signed","Started","Awaiting RFI","Outstanding","RFI Scheduled"},0)),"Stage 4",""))</f>
        <v/>
      </c>
      <c r="M70" s="7">
        <f>4-COUNTIF('Job Planning'!$H70:$K70,"N/A")-_xlfn.LET(_xlpm.pending,LEN('Job Planning'!$L70)-LEN(SUBSTITUTE('Job Planning'!$L70,",",""))+1,IF('Job Planning'!$L70="",0,_xlpm.pending))</f>
        <v>4</v>
      </c>
      <c r="N70" s="7">
        <f>_xlfn.LET(_xlpm.pending,LEN('Job Planning'!$L70)-LEN(SUBSTITUTE('Job Planning'!$L70,",",""))+1,IF('Job Planning'!$L70="",0,_xlpm.pending))</f>
        <v>0</v>
      </c>
      <c r="O70" s="7">
        <f>SUM('Job Planning'!$P70:$Q70)</f>
        <v>0</v>
      </c>
      <c r="P70" s="7">
        <f>COUNTIFS('Defect List'!C:C,'Job Planning'!G70,'Defect List'!B:B,"Outstanding",'Defect List'!G:G,"Major")</f>
        <v>0</v>
      </c>
      <c r="Q70" s="7">
        <f>COUNTIFS('Defect List'!C:C,'Job Planning'!G70,'Defect List'!B:B,"Outstanding",'Defect List'!G:G,"Minor")</f>
        <v>0</v>
      </c>
      <c r="R70" s="8" t="str" cm="1">
        <f t="array" ref="R70">_xlfn.TEXTJOIN("
",TRUE,_xlfn._xlws.FILTER('Outstanding Defect (PQ)'!G:G,'Outstanding Defect (PQ)'!B:B='Job Planning'!G70,""))</f>
        <v/>
      </c>
      <c r="S70" s="3"/>
      <c r="T70" s="30" t="str">
        <f>_xlfn.TEXTAFTER(G70,"-",-2)</f>
        <v>SAF-8636</v>
      </c>
      <c r="U70" s="1" t="str">
        <f>IF(_xlfn.XLOOKUP('Job Planning'!$G70,Search!B:B,Search!C:C,"",0)="","",_xlfn.XLOOKUP('Job Planning'!$G70,Search!B:B,Search!C:C,"",0))</f>
        <v/>
      </c>
      <c r="V70" s="1" t="str">
        <f>_xlfn.XLOOKUP('Job Planning'!$T70,Search!A:A,Search!C:C,"",0)</f>
        <v/>
      </c>
      <c r="W70" s="1" t="str">
        <f>_xlfn.XLOOKUP('Job Planning'!$B70,Search!B:B,Search!C:C,"",0)</f>
        <v/>
      </c>
    </row>
    <row r="71" spans="1:23" ht="14.4">
      <c r="A71" s="7" t="s">
        <v>13</v>
      </c>
      <c r="B71" s="7" t="s">
        <v>95</v>
      </c>
      <c r="C71" s="7" t="s">
        <v>8</v>
      </c>
      <c r="D71" s="6" t="str">
        <f>IF(AND('Job Planning'!$L71="",'Job Planning'!$O71=0)=TRUE,"Can Close","Can't")</f>
        <v>Can Close</v>
      </c>
      <c r="E71" s="6" t="str">
        <f>_xlfn.TEXTJOIN(", ",TRUE,IF(N71=0,"","Inspection"),IF('Job Planning'!$O71=0,"","Defect"))</f>
        <v/>
      </c>
      <c r="F71" s="21"/>
      <c r="G71" s="8" t="s">
        <v>354</v>
      </c>
      <c r="H71" s="7" t="s">
        <v>8</v>
      </c>
      <c r="I71" s="7" t="s">
        <v>8</v>
      </c>
      <c r="J71" s="7" t="s">
        <v>8</v>
      </c>
      <c r="K71" s="7" t="s">
        <v>8</v>
      </c>
      <c r="L71" s="19" t="str">
        <f>_xlfn.TEXTJOIN(", ",TRUE,
IF(ISNUMBER(MATCH('Job Planning'!$H71,{"To Be Signed","Started","Awaiting RFI","Outstanding","RFI Scheduled"},0)),"Stage 1",""),
IF(ISNUMBER(MATCH('Job Planning'!$I71,{"To Be Signed","Started","Awaiting RFI","Outstanding","RFI Scheduled"},0)),"Stage 2",""),
IF(ISNUMBER(MATCH('Job Planning'!$J71,{"To Be Signed","Started","Awaiting RFI","Outstanding","RFI Scheduled"},0)),"Stage 3",""),
IF(ISNUMBER(MATCH('Job Planning'!$K71,{"To Be Signed","Started","Awaiting RFI","Outstanding","RFI Scheduled"},0)),"Stage 4",""))</f>
        <v/>
      </c>
      <c r="M71" s="7">
        <f>4-COUNTIF('Job Planning'!$H71:$K71,"N/A")-_xlfn.LET(_xlpm.pending,LEN('Job Planning'!$L71)-LEN(SUBSTITUTE('Job Planning'!$L71,",",""))+1,IF('Job Planning'!$L71="",0,_xlpm.pending))</f>
        <v>4</v>
      </c>
      <c r="N71" s="7">
        <f>_xlfn.LET(_xlpm.pending,LEN('Job Planning'!$L71)-LEN(SUBSTITUTE('Job Planning'!$L71,",",""))+1,IF('Job Planning'!$L71="",0,_xlpm.pending))</f>
        <v>0</v>
      </c>
      <c r="O71" s="7">
        <f>SUM('Job Planning'!$P71:$Q71)</f>
        <v>0</v>
      </c>
      <c r="P71" s="7">
        <f>COUNTIFS('Defect List'!C:C,'Job Planning'!G71,'Defect List'!B:B,"Outstanding",'Defect List'!G:G,"Major")</f>
        <v>0</v>
      </c>
      <c r="Q71" s="7">
        <f>COUNTIFS('Defect List'!C:C,'Job Planning'!G71,'Defect List'!B:B,"Outstanding",'Defect List'!G:G,"Minor")</f>
        <v>0</v>
      </c>
      <c r="R71" s="8" t="str" cm="1">
        <f t="array" ref="R71">_xlfn.TEXTJOIN("
",TRUE,_xlfn._xlws.FILTER('Outstanding Defect (PQ)'!G:G,'Outstanding Defect (PQ)'!B:B='Job Planning'!G71,""))</f>
        <v/>
      </c>
      <c r="S71" s="3"/>
      <c r="T71" s="30" t="str">
        <f>_xlfn.TEXTAFTER(G71,"-",-2)</f>
        <v>SAF-8634</v>
      </c>
      <c r="U71" s="1" t="str">
        <f>IF(_xlfn.XLOOKUP('Job Planning'!$G71,Search!B:B,Search!C:C,"",0)="","",_xlfn.XLOOKUP('Job Planning'!$G71,Search!B:B,Search!C:C,"",0))</f>
        <v/>
      </c>
      <c r="V71" s="1" t="str">
        <f>_xlfn.XLOOKUP('Job Planning'!$T71,Search!A:A,Search!C:C,"",0)</f>
        <v/>
      </c>
      <c r="W71" s="1" t="str">
        <f>_xlfn.XLOOKUP('Job Planning'!$B71,Search!B:B,Search!C:C,"",0)</f>
        <v/>
      </c>
    </row>
    <row r="72" spans="1:23" ht="14.4">
      <c r="A72" s="7" t="s">
        <v>13</v>
      </c>
      <c r="B72" s="7" t="s">
        <v>96</v>
      </c>
      <c r="C72" s="7" t="s">
        <v>8</v>
      </c>
      <c r="D72" s="6" t="str">
        <f>IF(AND('Job Planning'!$L72="",'Job Planning'!$O72=0)=TRUE,"Can Close","Can't")</f>
        <v>Can Close</v>
      </c>
      <c r="E72" s="6" t="str">
        <f>_xlfn.TEXTJOIN(", ",TRUE,IF(N72=0,"","Inspection"),IF('Job Planning'!$O72=0,"","Defect"))</f>
        <v/>
      </c>
      <c r="F72" s="21"/>
      <c r="G72" s="8" t="s">
        <v>355</v>
      </c>
      <c r="H72" s="7" t="s">
        <v>8</v>
      </c>
      <c r="I72" s="7" t="s">
        <v>8</v>
      </c>
      <c r="J72" s="7" t="s">
        <v>8</v>
      </c>
      <c r="K72" s="7" t="s">
        <v>8</v>
      </c>
      <c r="L72" s="19" t="str">
        <f>_xlfn.TEXTJOIN(", ",TRUE,
IF(ISNUMBER(MATCH('Job Planning'!$H72,{"To Be Signed","Started","Awaiting RFI","Outstanding","RFI Scheduled"},0)),"Stage 1",""),
IF(ISNUMBER(MATCH('Job Planning'!$I72,{"To Be Signed","Started","Awaiting RFI","Outstanding","RFI Scheduled"},0)),"Stage 2",""),
IF(ISNUMBER(MATCH('Job Planning'!$J72,{"To Be Signed","Started","Awaiting RFI","Outstanding","RFI Scheduled"},0)),"Stage 3",""),
IF(ISNUMBER(MATCH('Job Planning'!$K72,{"To Be Signed","Started","Awaiting RFI","Outstanding","RFI Scheduled"},0)),"Stage 4",""))</f>
        <v/>
      </c>
      <c r="M72" s="7">
        <f>4-COUNTIF('Job Planning'!$H72:$K72,"N/A")-_xlfn.LET(_xlpm.pending,LEN('Job Planning'!$L72)-LEN(SUBSTITUTE('Job Planning'!$L72,",",""))+1,IF('Job Planning'!$L72="",0,_xlpm.pending))</f>
        <v>4</v>
      </c>
      <c r="N72" s="7">
        <f>_xlfn.LET(_xlpm.pending,LEN('Job Planning'!$L72)-LEN(SUBSTITUTE('Job Planning'!$L72,",",""))+1,IF('Job Planning'!$L72="",0,_xlpm.pending))</f>
        <v>0</v>
      </c>
      <c r="O72" s="7">
        <f>SUM('Job Planning'!$P72:$Q72)</f>
        <v>0</v>
      </c>
      <c r="P72" s="7">
        <f>COUNTIFS('Defect List'!C:C,'Job Planning'!G72,'Defect List'!B:B,"Outstanding",'Defect List'!G:G,"Major")</f>
        <v>0</v>
      </c>
      <c r="Q72" s="7">
        <f>COUNTIFS('Defect List'!C:C,'Job Planning'!G72,'Defect List'!B:B,"Outstanding",'Defect List'!G:G,"Minor")</f>
        <v>0</v>
      </c>
      <c r="R72" s="8" t="str" cm="1">
        <f t="array" ref="R72">_xlfn.TEXTJOIN("
",TRUE,_xlfn._xlws.FILTER('Outstanding Defect (PQ)'!G:G,'Outstanding Defect (PQ)'!B:B='Job Planning'!G72,""))</f>
        <v/>
      </c>
      <c r="S72" s="3"/>
      <c r="T72" s="30" t="str">
        <f>_xlfn.TEXTAFTER(G72,"-",-2)</f>
        <v>SAF-8633</v>
      </c>
      <c r="U72" s="1" t="str">
        <f>IF(_xlfn.XLOOKUP('Job Planning'!$G72,Search!B:B,Search!C:C,"",0)="","",_xlfn.XLOOKUP('Job Planning'!$G72,Search!B:B,Search!C:C,"",0))</f>
        <v/>
      </c>
      <c r="V72" s="1" t="str">
        <f>_xlfn.XLOOKUP('Job Planning'!$T72,Search!A:A,Search!C:C,"",0)</f>
        <v/>
      </c>
      <c r="W72" s="1" t="str">
        <f>_xlfn.XLOOKUP('Job Planning'!$B72,Search!B:B,Search!C:C,"",0)</f>
        <v/>
      </c>
    </row>
    <row r="73" spans="1:23" ht="14.4">
      <c r="A73" s="7" t="s">
        <v>13</v>
      </c>
      <c r="B73" s="7" t="s">
        <v>97</v>
      </c>
      <c r="C73" s="7" t="s">
        <v>8</v>
      </c>
      <c r="D73" s="6" t="str">
        <f>IF(AND('Job Planning'!$L73="",'Job Planning'!$O73=0)=TRUE,"Can Close","Can't")</f>
        <v>Can Close</v>
      </c>
      <c r="E73" s="6" t="str">
        <f>_xlfn.TEXTJOIN(", ",TRUE,IF(N73=0,"","Inspection"),IF('Job Planning'!$O73=0,"","Defect"))</f>
        <v/>
      </c>
      <c r="F73" s="21"/>
      <c r="G73" s="8" t="s">
        <v>356</v>
      </c>
      <c r="H73" s="7" t="s">
        <v>8</v>
      </c>
      <c r="I73" s="7" t="s">
        <v>8</v>
      </c>
      <c r="J73" s="7" t="s">
        <v>8</v>
      </c>
      <c r="K73" s="7" t="s">
        <v>8</v>
      </c>
      <c r="L73" s="19" t="str">
        <f>_xlfn.TEXTJOIN(", ",TRUE,
IF(ISNUMBER(MATCH('Job Planning'!$H73,{"To Be Signed","Started","Awaiting RFI","Outstanding","RFI Scheduled"},0)),"Stage 1",""),
IF(ISNUMBER(MATCH('Job Planning'!$I73,{"To Be Signed","Started","Awaiting RFI","Outstanding","RFI Scheduled"},0)),"Stage 2",""),
IF(ISNUMBER(MATCH('Job Planning'!$J73,{"To Be Signed","Started","Awaiting RFI","Outstanding","RFI Scheduled"},0)),"Stage 3",""),
IF(ISNUMBER(MATCH('Job Planning'!$K73,{"To Be Signed","Started","Awaiting RFI","Outstanding","RFI Scheduled"},0)),"Stage 4",""))</f>
        <v/>
      </c>
      <c r="M73" s="7">
        <f>4-COUNTIF('Job Planning'!$H73:$K73,"N/A")-_xlfn.LET(_xlpm.pending,LEN('Job Planning'!$L73)-LEN(SUBSTITUTE('Job Planning'!$L73,",",""))+1,IF('Job Planning'!$L73="",0,_xlpm.pending))</f>
        <v>4</v>
      </c>
      <c r="N73" s="7">
        <f>_xlfn.LET(_xlpm.pending,LEN('Job Planning'!$L73)-LEN(SUBSTITUTE('Job Planning'!$L73,",",""))+1,IF('Job Planning'!$L73="",0,_xlpm.pending))</f>
        <v>0</v>
      </c>
      <c r="O73" s="7">
        <f>SUM('Job Planning'!$P73:$Q73)</f>
        <v>0</v>
      </c>
      <c r="P73" s="7">
        <f>COUNTIFS('Defect List'!C:C,'Job Planning'!G73,'Defect List'!B:B,"Outstanding",'Defect List'!G:G,"Major")</f>
        <v>0</v>
      </c>
      <c r="Q73" s="7">
        <f>COUNTIFS('Defect List'!C:C,'Job Planning'!G73,'Defect List'!B:B,"Outstanding",'Defect List'!G:G,"Minor")</f>
        <v>0</v>
      </c>
      <c r="R73" s="8" t="str" cm="1">
        <f t="array" ref="R73">_xlfn.TEXTJOIN("
",TRUE,_xlfn._xlws.FILTER('Outstanding Defect (PQ)'!G:G,'Outstanding Defect (PQ)'!B:B='Job Planning'!G73,""))</f>
        <v/>
      </c>
      <c r="S73" s="3"/>
      <c r="T73" s="30" t="str">
        <f>_xlfn.TEXTAFTER(G73,"-",-2)</f>
        <v>SAF-8631</v>
      </c>
      <c r="U73" s="1" t="str">
        <f>IF(_xlfn.XLOOKUP('Job Planning'!$G73,Search!B:B,Search!C:C,"",0)="","",_xlfn.XLOOKUP('Job Planning'!$G73,Search!B:B,Search!C:C,"",0))</f>
        <v/>
      </c>
      <c r="V73" s="1" t="str">
        <f>_xlfn.XLOOKUP('Job Planning'!$T73,Search!A:A,Search!C:C,"",0)</f>
        <v/>
      </c>
      <c r="W73" s="1" t="str">
        <f>_xlfn.XLOOKUP('Job Planning'!$B73,Search!B:B,Search!C:C,"",0)</f>
        <v/>
      </c>
    </row>
    <row r="74" spans="1:23" ht="14.4">
      <c r="A74" s="7" t="s">
        <v>13</v>
      </c>
      <c r="B74" s="7" t="s">
        <v>98</v>
      </c>
      <c r="C74" s="7" t="s">
        <v>8</v>
      </c>
      <c r="D74" s="6" t="str">
        <f>IF(AND('Job Planning'!$L74="",'Job Planning'!$O74=0)=TRUE,"Can Close","Can't")</f>
        <v>Can Close</v>
      </c>
      <c r="E74" s="6" t="str">
        <f>_xlfn.TEXTJOIN(", ",TRUE,IF(N74=0,"","Inspection"),IF('Job Planning'!$O74=0,"","Defect"))</f>
        <v/>
      </c>
      <c r="F74" s="21"/>
      <c r="G74" s="8" t="s">
        <v>357</v>
      </c>
      <c r="H74" s="7" t="s">
        <v>8</v>
      </c>
      <c r="I74" s="7" t="s">
        <v>8</v>
      </c>
      <c r="J74" s="7" t="s">
        <v>8</v>
      </c>
      <c r="K74" s="7" t="s">
        <v>8</v>
      </c>
      <c r="L74" s="19" t="str">
        <f>_xlfn.TEXTJOIN(", ",TRUE,
IF(ISNUMBER(MATCH('Job Planning'!$H74,{"To Be Signed","Started","Awaiting RFI","Outstanding","RFI Scheduled"},0)),"Stage 1",""),
IF(ISNUMBER(MATCH('Job Planning'!$I74,{"To Be Signed","Started","Awaiting RFI","Outstanding","RFI Scheduled"},0)),"Stage 2",""),
IF(ISNUMBER(MATCH('Job Planning'!$J74,{"To Be Signed","Started","Awaiting RFI","Outstanding","RFI Scheduled"},0)),"Stage 3",""),
IF(ISNUMBER(MATCH('Job Planning'!$K74,{"To Be Signed","Started","Awaiting RFI","Outstanding","RFI Scheduled"},0)),"Stage 4",""))</f>
        <v/>
      </c>
      <c r="M74" s="7">
        <f>4-COUNTIF('Job Planning'!$H74:$K74,"N/A")-_xlfn.LET(_xlpm.pending,LEN('Job Planning'!$L74)-LEN(SUBSTITUTE('Job Planning'!$L74,",",""))+1,IF('Job Planning'!$L74="",0,_xlpm.pending))</f>
        <v>4</v>
      </c>
      <c r="N74" s="7">
        <f>_xlfn.LET(_xlpm.pending,LEN('Job Planning'!$L74)-LEN(SUBSTITUTE('Job Planning'!$L74,",",""))+1,IF('Job Planning'!$L74="",0,_xlpm.pending))</f>
        <v>0</v>
      </c>
      <c r="O74" s="7">
        <f>SUM('Job Planning'!$P74:$Q74)</f>
        <v>0</v>
      </c>
      <c r="P74" s="7">
        <f>COUNTIFS('Defect List'!C:C,'Job Planning'!G74,'Defect List'!B:B,"Outstanding",'Defect List'!G:G,"Major")</f>
        <v>0</v>
      </c>
      <c r="Q74" s="7">
        <f>COUNTIFS('Defect List'!C:C,'Job Planning'!G74,'Defect List'!B:B,"Outstanding",'Defect List'!G:G,"Minor")</f>
        <v>0</v>
      </c>
      <c r="R74" s="8" t="str" cm="1">
        <f t="array" ref="R74">_xlfn.TEXTJOIN("
",TRUE,_xlfn._xlws.FILTER('Outstanding Defect (PQ)'!G:G,'Outstanding Defect (PQ)'!B:B='Job Planning'!G74,""))</f>
        <v/>
      </c>
      <c r="S74" s="3"/>
      <c r="T74" s="30" t="str">
        <f>_xlfn.TEXTAFTER(G74,"-",-2)</f>
        <v>SAF-8630</v>
      </c>
      <c r="U74" s="1" t="str">
        <f>IF(_xlfn.XLOOKUP('Job Planning'!$G74,Search!B:B,Search!C:C,"",0)="","",_xlfn.XLOOKUP('Job Planning'!$G74,Search!B:B,Search!C:C,"",0))</f>
        <v/>
      </c>
      <c r="V74" s="1" t="str">
        <f>_xlfn.XLOOKUP('Job Planning'!$T74,Search!A:A,Search!C:C,"",0)</f>
        <v/>
      </c>
      <c r="W74" s="1" t="str">
        <f>_xlfn.XLOOKUP('Job Planning'!$B74,Search!B:B,Search!C:C,"",0)</f>
        <v/>
      </c>
    </row>
    <row r="75" spans="1:23" ht="14.4">
      <c r="A75" s="7" t="s">
        <v>13</v>
      </c>
      <c r="B75" s="7" t="s">
        <v>99</v>
      </c>
      <c r="C75" s="7" t="s">
        <v>8</v>
      </c>
      <c r="D75" s="6" t="str">
        <f>IF(AND('Job Planning'!$L75="",'Job Planning'!$O75=0)=TRUE,"Can Close","Can't")</f>
        <v>Can Close</v>
      </c>
      <c r="E75" s="6" t="str">
        <f>_xlfn.TEXTJOIN(", ",TRUE,IF(N75=0,"","Inspection"),IF('Job Planning'!$O75=0,"","Defect"))</f>
        <v/>
      </c>
      <c r="F75" s="21"/>
      <c r="G75" s="8" t="s">
        <v>358</v>
      </c>
      <c r="H75" s="7" t="s">
        <v>8</v>
      </c>
      <c r="I75" s="7" t="s">
        <v>8</v>
      </c>
      <c r="J75" s="7" t="s">
        <v>8</v>
      </c>
      <c r="K75" s="7" t="s">
        <v>8</v>
      </c>
      <c r="L75" s="19" t="str">
        <f>_xlfn.TEXTJOIN(", ",TRUE,
IF(ISNUMBER(MATCH('Job Planning'!$H75,{"To Be Signed","Started","Awaiting RFI","Outstanding","RFI Scheduled"},0)),"Stage 1",""),
IF(ISNUMBER(MATCH('Job Planning'!$I75,{"To Be Signed","Started","Awaiting RFI","Outstanding","RFI Scheduled"},0)),"Stage 2",""),
IF(ISNUMBER(MATCH('Job Planning'!$J75,{"To Be Signed","Started","Awaiting RFI","Outstanding","RFI Scheduled"},0)),"Stage 3",""),
IF(ISNUMBER(MATCH('Job Planning'!$K75,{"To Be Signed","Started","Awaiting RFI","Outstanding","RFI Scheduled"},0)),"Stage 4",""))</f>
        <v/>
      </c>
      <c r="M75" s="7">
        <f>4-COUNTIF('Job Planning'!$H75:$K75,"N/A")-_xlfn.LET(_xlpm.pending,LEN('Job Planning'!$L75)-LEN(SUBSTITUTE('Job Planning'!$L75,",",""))+1,IF('Job Planning'!$L75="",0,_xlpm.pending))</f>
        <v>4</v>
      </c>
      <c r="N75" s="7">
        <f>_xlfn.LET(_xlpm.pending,LEN('Job Planning'!$L75)-LEN(SUBSTITUTE('Job Planning'!$L75,",",""))+1,IF('Job Planning'!$L75="",0,_xlpm.pending))</f>
        <v>0</v>
      </c>
      <c r="O75" s="7">
        <f>SUM('Job Planning'!$P75:$Q75)</f>
        <v>0</v>
      </c>
      <c r="P75" s="7">
        <f>COUNTIFS('Defect List'!C:C,'Job Planning'!G75,'Defect List'!B:B,"Outstanding",'Defect List'!G:G,"Major")</f>
        <v>0</v>
      </c>
      <c r="Q75" s="7">
        <f>COUNTIFS('Defect List'!C:C,'Job Planning'!G75,'Defect List'!B:B,"Outstanding",'Defect List'!G:G,"Minor")</f>
        <v>0</v>
      </c>
      <c r="R75" s="8" t="str" cm="1">
        <f t="array" ref="R75">_xlfn.TEXTJOIN("
",TRUE,_xlfn._xlws.FILTER('Outstanding Defect (PQ)'!G:G,'Outstanding Defect (PQ)'!B:B='Job Planning'!G75,""))</f>
        <v/>
      </c>
      <c r="S75" s="3"/>
      <c r="T75" s="30" t="str">
        <f>_xlfn.TEXTAFTER(G75,"-",-2)</f>
        <v>SAF-8628</v>
      </c>
      <c r="U75" s="1" t="str">
        <f>IF(_xlfn.XLOOKUP('Job Planning'!$G75,Search!B:B,Search!C:C,"",0)="","",_xlfn.XLOOKUP('Job Planning'!$G75,Search!B:B,Search!C:C,"",0))</f>
        <v/>
      </c>
      <c r="V75" s="1" t="str">
        <f>_xlfn.XLOOKUP('Job Planning'!$T75,Search!A:A,Search!C:C,"",0)</f>
        <v/>
      </c>
      <c r="W75" s="1" t="str">
        <f>_xlfn.XLOOKUP('Job Planning'!$B75,Search!B:B,Search!C:C,"",0)</f>
        <v/>
      </c>
    </row>
    <row r="76" spans="1:23" ht="14.4">
      <c r="A76" s="7" t="s">
        <v>13</v>
      </c>
      <c r="B76" s="7" t="s">
        <v>100</v>
      </c>
      <c r="C76" s="7" t="s">
        <v>8</v>
      </c>
      <c r="D76" s="6" t="str">
        <f>IF(AND('Job Planning'!$L76="",'Job Planning'!$O76=0)=TRUE,"Can Close","Can't")</f>
        <v>Can Close</v>
      </c>
      <c r="E76" s="6" t="str">
        <f>_xlfn.TEXTJOIN(", ",TRUE,IF(N76=0,"","Inspection"),IF('Job Planning'!$O76=0,"","Defect"))</f>
        <v/>
      </c>
      <c r="F76" s="21"/>
      <c r="G76" s="8" t="s">
        <v>359</v>
      </c>
      <c r="H76" s="7" t="s">
        <v>8</v>
      </c>
      <c r="I76" s="7" t="s">
        <v>8</v>
      </c>
      <c r="J76" s="7" t="s">
        <v>8</v>
      </c>
      <c r="K76" s="7" t="s">
        <v>8</v>
      </c>
      <c r="L76" s="19" t="str">
        <f>_xlfn.TEXTJOIN(", ",TRUE,
IF(ISNUMBER(MATCH('Job Planning'!$H76,{"To Be Signed","Started","Awaiting RFI","Outstanding","RFI Scheduled"},0)),"Stage 1",""),
IF(ISNUMBER(MATCH('Job Planning'!$I76,{"To Be Signed","Started","Awaiting RFI","Outstanding","RFI Scheduled"},0)),"Stage 2",""),
IF(ISNUMBER(MATCH('Job Planning'!$J76,{"To Be Signed","Started","Awaiting RFI","Outstanding","RFI Scheduled"},0)),"Stage 3",""),
IF(ISNUMBER(MATCH('Job Planning'!$K76,{"To Be Signed","Started","Awaiting RFI","Outstanding","RFI Scheduled"},0)),"Stage 4",""))</f>
        <v/>
      </c>
      <c r="M76" s="7">
        <f>4-COUNTIF('Job Planning'!$H76:$K76,"N/A")-_xlfn.LET(_xlpm.pending,LEN('Job Planning'!$L76)-LEN(SUBSTITUTE('Job Planning'!$L76,",",""))+1,IF('Job Planning'!$L76="",0,_xlpm.pending))</f>
        <v>4</v>
      </c>
      <c r="N76" s="7">
        <f>_xlfn.LET(_xlpm.pending,LEN('Job Planning'!$L76)-LEN(SUBSTITUTE('Job Planning'!$L76,",",""))+1,IF('Job Planning'!$L76="",0,_xlpm.pending))</f>
        <v>0</v>
      </c>
      <c r="O76" s="7">
        <f>SUM('Job Planning'!$P76:$Q76)</f>
        <v>0</v>
      </c>
      <c r="P76" s="7">
        <f>COUNTIFS('Defect List'!C:C,'Job Planning'!G76,'Defect List'!B:B,"Outstanding",'Defect List'!G:G,"Major")</f>
        <v>0</v>
      </c>
      <c r="Q76" s="7">
        <f>COUNTIFS('Defect List'!C:C,'Job Planning'!G76,'Defect List'!B:B,"Outstanding",'Defect List'!G:G,"Minor")</f>
        <v>0</v>
      </c>
      <c r="R76" s="8" t="str" cm="1">
        <f t="array" ref="R76">_xlfn.TEXTJOIN("
",TRUE,_xlfn._xlws.FILTER('Outstanding Defect (PQ)'!G:G,'Outstanding Defect (PQ)'!B:B='Job Planning'!G76,""))</f>
        <v/>
      </c>
      <c r="S76" s="3"/>
      <c r="T76" s="30" t="str">
        <f>_xlfn.TEXTAFTER(G76,"-",-2)</f>
        <v>SAF-8627</v>
      </c>
      <c r="U76" s="1" t="str">
        <f>IF(_xlfn.XLOOKUP('Job Planning'!$G76,Search!B:B,Search!C:C,"",0)="","",_xlfn.XLOOKUP('Job Planning'!$G76,Search!B:B,Search!C:C,"",0))</f>
        <v/>
      </c>
      <c r="V76" s="1" t="str">
        <f>_xlfn.XLOOKUP('Job Planning'!$T76,Search!A:A,Search!C:C,"",0)</f>
        <v/>
      </c>
      <c r="W76" s="1" t="str">
        <f>_xlfn.XLOOKUP('Job Planning'!$B76,Search!B:B,Search!C:C,"",0)</f>
        <v/>
      </c>
    </row>
    <row r="77" spans="1:23" ht="14.4">
      <c r="A77" s="7" t="s">
        <v>13</v>
      </c>
      <c r="B77" s="7" t="s">
        <v>101</v>
      </c>
      <c r="C77" s="7" t="s">
        <v>8</v>
      </c>
      <c r="D77" s="6" t="str">
        <f>IF(AND('Job Planning'!$L77="",'Job Planning'!$O77=0)=TRUE,"Can Close","Can't")</f>
        <v>Can Close</v>
      </c>
      <c r="E77" s="6" t="str">
        <f>_xlfn.TEXTJOIN(", ",TRUE,IF(N77=0,"","Inspection"),IF('Job Planning'!$O77=0,"","Defect"))</f>
        <v/>
      </c>
      <c r="F77" s="21"/>
      <c r="G77" s="8" t="s">
        <v>360</v>
      </c>
      <c r="H77" s="7" t="s">
        <v>8</v>
      </c>
      <c r="I77" s="7" t="s">
        <v>8</v>
      </c>
      <c r="J77" s="7" t="s">
        <v>8</v>
      </c>
      <c r="K77" s="7" t="s">
        <v>8</v>
      </c>
      <c r="L77" s="19" t="str">
        <f>_xlfn.TEXTJOIN(", ",TRUE,
IF(ISNUMBER(MATCH('Job Planning'!$H77,{"To Be Signed","Started","Awaiting RFI","Outstanding","RFI Scheduled"},0)),"Stage 1",""),
IF(ISNUMBER(MATCH('Job Planning'!$I77,{"To Be Signed","Started","Awaiting RFI","Outstanding","RFI Scheduled"},0)),"Stage 2",""),
IF(ISNUMBER(MATCH('Job Planning'!$J77,{"To Be Signed","Started","Awaiting RFI","Outstanding","RFI Scheduled"},0)),"Stage 3",""),
IF(ISNUMBER(MATCH('Job Planning'!$K77,{"To Be Signed","Started","Awaiting RFI","Outstanding","RFI Scheduled"},0)),"Stage 4",""))</f>
        <v/>
      </c>
      <c r="M77" s="7">
        <f>4-COUNTIF('Job Planning'!$H77:$K77,"N/A")-_xlfn.LET(_xlpm.pending,LEN('Job Planning'!$L77)-LEN(SUBSTITUTE('Job Planning'!$L77,",",""))+1,IF('Job Planning'!$L77="",0,_xlpm.pending))</f>
        <v>4</v>
      </c>
      <c r="N77" s="7">
        <f>_xlfn.LET(_xlpm.pending,LEN('Job Planning'!$L77)-LEN(SUBSTITUTE('Job Planning'!$L77,",",""))+1,IF('Job Planning'!$L77="",0,_xlpm.pending))</f>
        <v>0</v>
      </c>
      <c r="O77" s="7">
        <f>SUM('Job Planning'!$P77:$Q77)</f>
        <v>0</v>
      </c>
      <c r="P77" s="7">
        <f>COUNTIFS('Defect List'!C:C,'Job Planning'!G77,'Defect List'!B:B,"Outstanding",'Defect List'!G:G,"Major")</f>
        <v>0</v>
      </c>
      <c r="Q77" s="7">
        <f>COUNTIFS('Defect List'!C:C,'Job Planning'!G77,'Defect List'!B:B,"Outstanding",'Defect List'!G:G,"Minor")</f>
        <v>0</v>
      </c>
      <c r="R77" s="8" t="str" cm="1">
        <f t="array" ref="R77">_xlfn.TEXTJOIN("
",TRUE,_xlfn._xlws.FILTER('Outstanding Defect (PQ)'!G:G,'Outstanding Defect (PQ)'!B:B='Job Planning'!G77,""))</f>
        <v/>
      </c>
      <c r="S77" s="3"/>
      <c r="T77" s="30" t="str">
        <f>_xlfn.TEXTAFTER(G77,"-",-2)</f>
        <v>SAF-8625</v>
      </c>
      <c r="U77" s="1" t="str">
        <f>IF(_xlfn.XLOOKUP('Job Planning'!$G77,Search!B:B,Search!C:C,"",0)="","",_xlfn.XLOOKUP('Job Planning'!$G77,Search!B:B,Search!C:C,"",0))</f>
        <v/>
      </c>
      <c r="V77" s="1" t="str">
        <f>_xlfn.XLOOKUP('Job Planning'!$T77,Search!A:A,Search!C:C,"",0)</f>
        <v/>
      </c>
      <c r="W77" s="1" t="str">
        <f>_xlfn.XLOOKUP('Job Planning'!$B77,Search!B:B,Search!C:C,"",0)</f>
        <v/>
      </c>
    </row>
    <row r="78" spans="1:23" ht="14.4">
      <c r="A78" s="7" t="s">
        <v>13</v>
      </c>
      <c r="B78" s="7" t="s">
        <v>102</v>
      </c>
      <c r="C78" s="7" t="s">
        <v>8</v>
      </c>
      <c r="D78" s="6" t="str">
        <f>IF(AND('Job Planning'!$L78="",'Job Planning'!$O78=0)=TRUE,"Can Close","Can't")</f>
        <v>Can Close</v>
      </c>
      <c r="E78" s="6" t="str">
        <f>_xlfn.TEXTJOIN(", ",TRUE,IF(N78=0,"","Inspection"),IF('Job Planning'!$O78=0,"","Defect"))</f>
        <v/>
      </c>
      <c r="F78" s="21"/>
      <c r="G78" s="8" t="s">
        <v>361</v>
      </c>
      <c r="H78" s="7" t="s">
        <v>8</v>
      </c>
      <c r="I78" s="7" t="s">
        <v>8</v>
      </c>
      <c r="J78" s="7" t="s">
        <v>8</v>
      </c>
      <c r="K78" s="7" t="s">
        <v>8</v>
      </c>
      <c r="L78" s="19" t="str">
        <f>_xlfn.TEXTJOIN(", ",TRUE,
IF(ISNUMBER(MATCH('Job Planning'!$H78,{"To Be Signed","Started","Awaiting RFI","Outstanding","RFI Scheduled"},0)),"Stage 1",""),
IF(ISNUMBER(MATCH('Job Planning'!$I78,{"To Be Signed","Started","Awaiting RFI","Outstanding","RFI Scheduled"},0)),"Stage 2",""),
IF(ISNUMBER(MATCH('Job Planning'!$J78,{"To Be Signed","Started","Awaiting RFI","Outstanding","RFI Scheduled"},0)),"Stage 3",""),
IF(ISNUMBER(MATCH('Job Planning'!$K78,{"To Be Signed","Started","Awaiting RFI","Outstanding","RFI Scheduled"},0)),"Stage 4",""))</f>
        <v/>
      </c>
      <c r="M78" s="7">
        <f>4-COUNTIF('Job Planning'!$H78:$K78,"N/A")-_xlfn.LET(_xlpm.pending,LEN('Job Planning'!$L78)-LEN(SUBSTITUTE('Job Planning'!$L78,",",""))+1,IF('Job Planning'!$L78="",0,_xlpm.pending))</f>
        <v>4</v>
      </c>
      <c r="N78" s="7">
        <f>_xlfn.LET(_xlpm.pending,LEN('Job Planning'!$L78)-LEN(SUBSTITUTE('Job Planning'!$L78,",",""))+1,IF('Job Planning'!$L78="",0,_xlpm.pending))</f>
        <v>0</v>
      </c>
      <c r="O78" s="7">
        <f>SUM('Job Planning'!$P78:$Q78)</f>
        <v>0</v>
      </c>
      <c r="P78" s="7">
        <f>COUNTIFS('Defect List'!C:C,'Job Planning'!G78,'Defect List'!B:B,"Outstanding",'Defect List'!G:G,"Major")</f>
        <v>0</v>
      </c>
      <c r="Q78" s="7">
        <f>COUNTIFS('Defect List'!C:C,'Job Planning'!G78,'Defect List'!B:B,"Outstanding",'Defect List'!G:G,"Minor")</f>
        <v>0</v>
      </c>
      <c r="R78" s="8" t="str" cm="1">
        <f t="array" ref="R78">_xlfn.TEXTJOIN("
",TRUE,_xlfn._xlws.FILTER('Outstanding Defect (PQ)'!G:G,'Outstanding Defect (PQ)'!B:B='Job Planning'!G78,""))</f>
        <v/>
      </c>
      <c r="S78" s="3"/>
      <c r="T78" s="30" t="str">
        <f>_xlfn.TEXTAFTER(G78,"-",-2)</f>
        <v>SAF-8624</v>
      </c>
      <c r="U78" s="1" t="str">
        <f>IF(_xlfn.XLOOKUP('Job Planning'!$G78,Search!B:B,Search!C:C,"",0)="","",_xlfn.XLOOKUP('Job Planning'!$G78,Search!B:B,Search!C:C,"",0))</f>
        <v/>
      </c>
      <c r="V78" s="1" t="str">
        <f>_xlfn.XLOOKUP('Job Planning'!$T78,Search!A:A,Search!C:C,"",0)</f>
        <v/>
      </c>
      <c r="W78" s="1" t="str">
        <f>_xlfn.XLOOKUP('Job Planning'!$B78,Search!B:B,Search!C:C,"",0)</f>
        <v/>
      </c>
    </row>
    <row r="79" spans="1:23" ht="14.4">
      <c r="A79" s="7" t="s">
        <v>13</v>
      </c>
      <c r="B79" s="7" t="s">
        <v>103</v>
      </c>
      <c r="C79" s="7" t="s">
        <v>8</v>
      </c>
      <c r="D79" s="6" t="str">
        <f>IF(AND('Job Planning'!$L79="",'Job Planning'!$O79=0)=TRUE,"Can Close","Can't")</f>
        <v>Can Close</v>
      </c>
      <c r="E79" s="6" t="str">
        <f>_xlfn.TEXTJOIN(", ",TRUE,IF(N79=0,"","Inspection"),IF('Job Planning'!$O79=0,"","Defect"))</f>
        <v/>
      </c>
      <c r="F79" s="21"/>
      <c r="G79" s="8" t="s">
        <v>362</v>
      </c>
      <c r="H79" s="7" t="s">
        <v>8</v>
      </c>
      <c r="I79" s="7" t="s">
        <v>8</v>
      </c>
      <c r="J79" s="7" t="s">
        <v>8</v>
      </c>
      <c r="K79" s="7" t="s">
        <v>8</v>
      </c>
      <c r="L79" s="19" t="str">
        <f>_xlfn.TEXTJOIN(", ",TRUE,
IF(ISNUMBER(MATCH('Job Planning'!$H79,{"To Be Signed","Started","Awaiting RFI","Outstanding","RFI Scheduled"},0)),"Stage 1",""),
IF(ISNUMBER(MATCH('Job Planning'!$I79,{"To Be Signed","Started","Awaiting RFI","Outstanding","RFI Scheduled"},0)),"Stage 2",""),
IF(ISNUMBER(MATCH('Job Planning'!$J79,{"To Be Signed","Started","Awaiting RFI","Outstanding","RFI Scheduled"},0)),"Stage 3",""),
IF(ISNUMBER(MATCH('Job Planning'!$K79,{"To Be Signed","Started","Awaiting RFI","Outstanding","RFI Scheduled"},0)),"Stage 4",""))</f>
        <v/>
      </c>
      <c r="M79" s="7">
        <f>4-COUNTIF('Job Planning'!$H79:$K79,"N/A")-_xlfn.LET(_xlpm.pending,LEN('Job Planning'!$L79)-LEN(SUBSTITUTE('Job Planning'!$L79,",",""))+1,IF('Job Planning'!$L79="",0,_xlpm.pending))</f>
        <v>4</v>
      </c>
      <c r="N79" s="7">
        <f>_xlfn.LET(_xlpm.pending,LEN('Job Planning'!$L79)-LEN(SUBSTITUTE('Job Planning'!$L79,",",""))+1,IF('Job Planning'!$L79="",0,_xlpm.pending))</f>
        <v>0</v>
      </c>
      <c r="O79" s="7">
        <f>SUM('Job Planning'!$P79:$Q79)</f>
        <v>0</v>
      </c>
      <c r="P79" s="7">
        <f>COUNTIFS('Defect List'!C:C,'Job Planning'!G79,'Defect List'!B:B,"Outstanding",'Defect List'!G:G,"Major")</f>
        <v>0</v>
      </c>
      <c r="Q79" s="7">
        <f>COUNTIFS('Defect List'!C:C,'Job Planning'!G79,'Defect List'!B:B,"Outstanding",'Defect List'!G:G,"Minor")</f>
        <v>0</v>
      </c>
      <c r="R79" s="8" t="str" cm="1">
        <f t="array" ref="R79">_xlfn.TEXTJOIN("
",TRUE,_xlfn._xlws.FILTER('Outstanding Defect (PQ)'!G:G,'Outstanding Defect (PQ)'!B:B='Job Planning'!G79,""))</f>
        <v/>
      </c>
      <c r="S79" s="3"/>
      <c r="T79" s="30" t="str">
        <f>_xlfn.TEXTAFTER(G79,"-",-2)</f>
        <v>SAF-8622</v>
      </c>
      <c r="U79" s="1" t="str">
        <f>IF(_xlfn.XLOOKUP('Job Planning'!$G79,Search!B:B,Search!C:C,"",0)="","",_xlfn.XLOOKUP('Job Planning'!$G79,Search!B:B,Search!C:C,"",0))</f>
        <v/>
      </c>
      <c r="V79" s="1" t="str">
        <f>_xlfn.XLOOKUP('Job Planning'!$T79,Search!A:A,Search!C:C,"",0)</f>
        <v/>
      </c>
      <c r="W79" s="1" t="str">
        <f>_xlfn.XLOOKUP('Job Planning'!$B79,Search!B:B,Search!C:C,"",0)</f>
        <v/>
      </c>
    </row>
    <row r="80" spans="1:23" ht="14.4">
      <c r="A80" s="7" t="s">
        <v>13</v>
      </c>
      <c r="B80" s="7" t="s">
        <v>104</v>
      </c>
      <c r="C80" s="7" t="s">
        <v>8</v>
      </c>
      <c r="D80" s="6" t="str">
        <f>IF(AND('Job Planning'!$L80="",'Job Planning'!$O80=0)=TRUE,"Can Close","Can't")</f>
        <v>Can Close</v>
      </c>
      <c r="E80" s="6" t="str">
        <f>_xlfn.TEXTJOIN(", ",TRUE,IF(N80=0,"","Inspection"),IF('Job Planning'!$O80=0,"","Defect"))</f>
        <v/>
      </c>
      <c r="F80" s="21"/>
      <c r="G80" s="8" t="s">
        <v>363</v>
      </c>
      <c r="H80" s="7" t="s">
        <v>8</v>
      </c>
      <c r="I80" s="7" t="s">
        <v>8</v>
      </c>
      <c r="J80" s="7" t="s">
        <v>8</v>
      </c>
      <c r="K80" s="7" t="s">
        <v>8</v>
      </c>
      <c r="L80" s="19" t="str">
        <f>_xlfn.TEXTJOIN(", ",TRUE,
IF(ISNUMBER(MATCH('Job Planning'!$H80,{"To Be Signed","Started","Awaiting RFI","Outstanding","RFI Scheduled"},0)),"Stage 1",""),
IF(ISNUMBER(MATCH('Job Planning'!$I80,{"To Be Signed","Started","Awaiting RFI","Outstanding","RFI Scheduled"},0)),"Stage 2",""),
IF(ISNUMBER(MATCH('Job Planning'!$J80,{"To Be Signed","Started","Awaiting RFI","Outstanding","RFI Scheduled"},0)),"Stage 3",""),
IF(ISNUMBER(MATCH('Job Planning'!$K80,{"To Be Signed","Started","Awaiting RFI","Outstanding","RFI Scheduled"},0)),"Stage 4",""))</f>
        <v/>
      </c>
      <c r="M80" s="7">
        <f>4-COUNTIF('Job Planning'!$H80:$K80,"N/A")-_xlfn.LET(_xlpm.pending,LEN('Job Planning'!$L80)-LEN(SUBSTITUTE('Job Planning'!$L80,",",""))+1,IF('Job Planning'!$L80="",0,_xlpm.pending))</f>
        <v>4</v>
      </c>
      <c r="N80" s="7">
        <f>_xlfn.LET(_xlpm.pending,LEN('Job Planning'!$L80)-LEN(SUBSTITUTE('Job Planning'!$L80,",",""))+1,IF('Job Planning'!$L80="",0,_xlpm.pending))</f>
        <v>0</v>
      </c>
      <c r="O80" s="7">
        <f>SUM('Job Planning'!$P80:$Q80)</f>
        <v>0</v>
      </c>
      <c r="P80" s="7">
        <f>COUNTIFS('Defect List'!C:C,'Job Planning'!G80,'Defect List'!B:B,"Outstanding",'Defect List'!G:G,"Major")</f>
        <v>0</v>
      </c>
      <c r="Q80" s="7">
        <f>COUNTIFS('Defect List'!C:C,'Job Planning'!G80,'Defect List'!B:B,"Outstanding",'Defect List'!G:G,"Minor")</f>
        <v>0</v>
      </c>
      <c r="R80" s="8" t="str" cm="1">
        <f t="array" ref="R80">_xlfn.TEXTJOIN("
",TRUE,_xlfn._xlws.FILTER('Outstanding Defect (PQ)'!G:G,'Outstanding Defect (PQ)'!B:B='Job Planning'!G80,""))</f>
        <v/>
      </c>
      <c r="S80" s="3"/>
      <c r="T80" s="30" t="str">
        <f>_xlfn.TEXTAFTER(G80,"-",-2)</f>
        <v>SAF-8621</v>
      </c>
      <c r="U80" s="1" t="str">
        <f>IF(_xlfn.XLOOKUP('Job Planning'!$G80,Search!B:B,Search!C:C,"",0)="","",_xlfn.XLOOKUP('Job Planning'!$G80,Search!B:B,Search!C:C,"",0))</f>
        <v/>
      </c>
      <c r="V80" s="1" t="str">
        <f>_xlfn.XLOOKUP('Job Planning'!$T80,Search!A:A,Search!C:C,"",0)</f>
        <v/>
      </c>
      <c r="W80" s="1" t="str">
        <f>_xlfn.XLOOKUP('Job Planning'!$B80,Search!B:B,Search!C:C,"",0)</f>
        <v/>
      </c>
    </row>
    <row r="81" spans="1:23" ht="14.4">
      <c r="A81" s="7" t="s">
        <v>13</v>
      </c>
      <c r="B81" s="7" t="s">
        <v>105</v>
      </c>
      <c r="C81" s="7" t="s">
        <v>8</v>
      </c>
      <c r="D81" s="6" t="str">
        <f>IF(AND('Job Planning'!$L81="",'Job Planning'!$O81=0)=TRUE,"Can Close","Can't")</f>
        <v>Can Close</v>
      </c>
      <c r="E81" s="6" t="str">
        <f>_xlfn.TEXTJOIN(", ",TRUE,IF(N81=0,"","Inspection"),IF('Job Planning'!$O81=0,"","Defect"))</f>
        <v/>
      </c>
      <c r="F81" s="21"/>
      <c r="G81" s="8" t="s">
        <v>364</v>
      </c>
      <c r="H81" s="7" t="s">
        <v>8</v>
      </c>
      <c r="I81" s="7" t="s">
        <v>8</v>
      </c>
      <c r="J81" s="7" t="s">
        <v>8</v>
      </c>
      <c r="K81" s="7" t="s">
        <v>8</v>
      </c>
      <c r="L81" s="19" t="str">
        <f>_xlfn.TEXTJOIN(", ",TRUE,
IF(ISNUMBER(MATCH('Job Planning'!$H81,{"To Be Signed","Started","Awaiting RFI","Outstanding","RFI Scheduled"},0)),"Stage 1",""),
IF(ISNUMBER(MATCH('Job Planning'!$I81,{"To Be Signed","Started","Awaiting RFI","Outstanding","RFI Scheduled"},0)),"Stage 2",""),
IF(ISNUMBER(MATCH('Job Planning'!$J81,{"To Be Signed","Started","Awaiting RFI","Outstanding","RFI Scheduled"},0)),"Stage 3",""),
IF(ISNUMBER(MATCH('Job Planning'!$K81,{"To Be Signed","Started","Awaiting RFI","Outstanding","RFI Scheduled"},0)),"Stage 4",""))</f>
        <v/>
      </c>
      <c r="M81" s="7">
        <f>4-COUNTIF('Job Planning'!$H81:$K81,"N/A")-_xlfn.LET(_xlpm.pending,LEN('Job Planning'!$L81)-LEN(SUBSTITUTE('Job Planning'!$L81,",",""))+1,IF('Job Planning'!$L81="",0,_xlpm.pending))</f>
        <v>4</v>
      </c>
      <c r="N81" s="7">
        <f>_xlfn.LET(_xlpm.pending,LEN('Job Planning'!$L81)-LEN(SUBSTITUTE('Job Planning'!$L81,",",""))+1,IF('Job Planning'!$L81="",0,_xlpm.pending))</f>
        <v>0</v>
      </c>
      <c r="O81" s="7">
        <f>SUM('Job Planning'!$P81:$Q81)</f>
        <v>0</v>
      </c>
      <c r="P81" s="7">
        <f>COUNTIFS('Defect List'!C:C,'Job Planning'!G81,'Defect List'!B:B,"Outstanding",'Defect List'!G:G,"Major")</f>
        <v>0</v>
      </c>
      <c r="Q81" s="7">
        <f>COUNTIFS('Defect List'!C:C,'Job Planning'!G81,'Defect List'!B:B,"Outstanding",'Defect List'!G:G,"Minor")</f>
        <v>0</v>
      </c>
      <c r="R81" s="8" t="str" cm="1">
        <f t="array" ref="R81">_xlfn.TEXTJOIN("
",TRUE,_xlfn._xlws.FILTER('Outstanding Defect (PQ)'!G:G,'Outstanding Defect (PQ)'!B:B='Job Planning'!G81,""))</f>
        <v/>
      </c>
      <c r="S81" s="3"/>
      <c r="T81" s="30" t="str">
        <f>_xlfn.TEXTAFTER(G81,"-",-2)</f>
        <v>SAF-8619</v>
      </c>
      <c r="U81" s="1" t="str">
        <f>IF(_xlfn.XLOOKUP('Job Planning'!$G81,Search!B:B,Search!C:C,"",0)="","",_xlfn.XLOOKUP('Job Planning'!$G81,Search!B:B,Search!C:C,"",0))</f>
        <v/>
      </c>
      <c r="V81" s="1" t="str">
        <f>_xlfn.XLOOKUP('Job Planning'!$T81,Search!A:A,Search!C:C,"",0)</f>
        <v/>
      </c>
      <c r="W81" s="1" t="str">
        <f>_xlfn.XLOOKUP('Job Planning'!$B81,Search!B:B,Search!C:C,"",0)</f>
        <v/>
      </c>
    </row>
    <row r="82" spans="1:23" ht="14.4">
      <c r="A82" s="7" t="s">
        <v>13</v>
      </c>
      <c r="B82" s="7" t="s">
        <v>106</v>
      </c>
      <c r="C82" s="7" t="s">
        <v>8</v>
      </c>
      <c r="D82" s="6" t="str">
        <f>IF(AND('Job Planning'!$L82="",'Job Planning'!$O82=0)=TRUE,"Can Close","Can't")</f>
        <v>Can Close</v>
      </c>
      <c r="E82" s="6" t="str">
        <f>_xlfn.TEXTJOIN(", ",TRUE,IF(N82=0,"","Inspection"),IF('Job Planning'!$O82=0,"","Defect"))</f>
        <v/>
      </c>
      <c r="F82" s="21"/>
      <c r="G82" s="8" t="s">
        <v>365</v>
      </c>
      <c r="H82" s="7" t="s">
        <v>8</v>
      </c>
      <c r="I82" s="7" t="s">
        <v>8</v>
      </c>
      <c r="J82" s="7" t="s">
        <v>8</v>
      </c>
      <c r="K82" s="7" t="s">
        <v>8</v>
      </c>
      <c r="L82" s="19" t="str">
        <f>_xlfn.TEXTJOIN(", ",TRUE,
IF(ISNUMBER(MATCH('Job Planning'!$H82,{"To Be Signed","Started","Awaiting RFI","Outstanding","RFI Scheduled"},0)),"Stage 1",""),
IF(ISNUMBER(MATCH('Job Planning'!$I82,{"To Be Signed","Started","Awaiting RFI","Outstanding","RFI Scheduled"},0)),"Stage 2",""),
IF(ISNUMBER(MATCH('Job Planning'!$J82,{"To Be Signed","Started","Awaiting RFI","Outstanding","RFI Scheduled"},0)),"Stage 3",""),
IF(ISNUMBER(MATCH('Job Planning'!$K82,{"To Be Signed","Started","Awaiting RFI","Outstanding","RFI Scheduled"},0)),"Stage 4",""))</f>
        <v/>
      </c>
      <c r="M82" s="7">
        <f>4-COUNTIF('Job Planning'!$H82:$K82,"N/A")-_xlfn.LET(_xlpm.pending,LEN('Job Planning'!$L82)-LEN(SUBSTITUTE('Job Planning'!$L82,",",""))+1,IF('Job Planning'!$L82="",0,_xlpm.pending))</f>
        <v>4</v>
      </c>
      <c r="N82" s="7">
        <f>_xlfn.LET(_xlpm.pending,LEN('Job Planning'!$L82)-LEN(SUBSTITUTE('Job Planning'!$L82,",",""))+1,IF('Job Planning'!$L82="",0,_xlpm.pending))</f>
        <v>0</v>
      </c>
      <c r="O82" s="7">
        <f>SUM('Job Planning'!$P82:$Q82)</f>
        <v>0</v>
      </c>
      <c r="P82" s="7">
        <f>COUNTIFS('Defect List'!C:C,'Job Planning'!G82,'Defect List'!B:B,"Outstanding",'Defect List'!G:G,"Major")</f>
        <v>0</v>
      </c>
      <c r="Q82" s="7">
        <f>COUNTIFS('Defect List'!C:C,'Job Planning'!G82,'Defect List'!B:B,"Outstanding",'Defect List'!G:G,"Minor")</f>
        <v>0</v>
      </c>
      <c r="R82" s="8" t="str" cm="1">
        <f t="array" ref="R82">_xlfn.TEXTJOIN("
",TRUE,_xlfn._xlws.FILTER('Outstanding Defect (PQ)'!G:G,'Outstanding Defect (PQ)'!B:B='Job Planning'!G82,""))</f>
        <v/>
      </c>
      <c r="S82" s="3"/>
      <c r="T82" s="30" t="str">
        <f>_xlfn.TEXTAFTER(G82,"-",-2)</f>
        <v>SAF-8618</v>
      </c>
      <c r="U82" s="1" t="str">
        <f>IF(_xlfn.XLOOKUP('Job Planning'!$G82,Search!B:B,Search!C:C,"",0)="","",_xlfn.XLOOKUP('Job Planning'!$G82,Search!B:B,Search!C:C,"",0))</f>
        <v/>
      </c>
      <c r="V82" s="1" t="str">
        <f>_xlfn.XLOOKUP('Job Planning'!$T82,Search!A:A,Search!C:C,"",0)</f>
        <v/>
      </c>
      <c r="W82" s="1" t="str">
        <f>_xlfn.XLOOKUP('Job Planning'!$B82,Search!B:B,Search!C:C,"",0)</f>
        <v/>
      </c>
    </row>
    <row r="83" spans="1:23" ht="14.4">
      <c r="A83" s="7" t="s">
        <v>13</v>
      </c>
      <c r="B83" s="7" t="s">
        <v>107</v>
      </c>
      <c r="C83" s="7" t="s">
        <v>8</v>
      </c>
      <c r="D83" s="6" t="str">
        <f>IF(AND('Job Planning'!$L83="",'Job Planning'!$O83=0)=TRUE,"Can Close","Can't")</f>
        <v>Can Close</v>
      </c>
      <c r="E83" s="6" t="str">
        <f>_xlfn.TEXTJOIN(", ",TRUE,IF(N83=0,"","Inspection"),IF('Job Planning'!$O83=0,"","Defect"))</f>
        <v/>
      </c>
      <c r="F83" s="21"/>
      <c r="G83" s="8" t="s">
        <v>366</v>
      </c>
      <c r="H83" s="7" t="s">
        <v>8</v>
      </c>
      <c r="I83" s="7" t="s">
        <v>8</v>
      </c>
      <c r="J83" s="7" t="s">
        <v>8</v>
      </c>
      <c r="K83" s="7" t="s">
        <v>8</v>
      </c>
      <c r="L83" s="19" t="str">
        <f>_xlfn.TEXTJOIN(", ",TRUE,
IF(ISNUMBER(MATCH('Job Planning'!$H83,{"To Be Signed","Started","Awaiting RFI","Outstanding","RFI Scheduled"},0)),"Stage 1",""),
IF(ISNUMBER(MATCH('Job Planning'!$I83,{"To Be Signed","Started","Awaiting RFI","Outstanding","RFI Scheduled"},0)),"Stage 2",""),
IF(ISNUMBER(MATCH('Job Planning'!$J83,{"To Be Signed","Started","Awaiting RFI","Outstanding","RFI Scheduled"},0)),"Stage 3",""),
IF(ISNUMBER(MATCH('Job Planning'!$K83,{"To Be Signed","Started","Awaiting RFI","Outstanding","RFI Scheduled"},0)),"Stage 4",""))</f>
        <v/>
      </c>
      <c r="M83" s="7">
        <f>4-COUNTIF('Job Planning'!$H83:$K83,"N/A")-_xlfn.LET(_xlpm.pending,LEN('Job Planning'!$L83)-LEN(SUBSTITUTE('Job Planning'!$L83,",",""))+1,IF('Job Planning'!$L83="",0,_xlpm.pending))</f>
        <v>4</v>
      </c>
      <c r="N83" s="7">
        <f>_xlfn.LET(_xlpm.pending,LEN('Job Planning'!$L83)-LEN(SUBSTITUTE('Job Planning'!$L83,",",""))+1,IF('Job Planning'!$L83="",0,_xlpm.pending))</f>
        <v>0</v>
      </c>
      <c r="O83" s="7">
        <f>SUM('Job Planning'!$P83:$Q83)</f>
        <v>0</v>
      </c>
      <c r="P83" s="7">
        <f>COUNTIFS('Defect List'!C:C,'Job Planning'!G83,'Defect List'!B:B,"Outstanding",'Defect List'!G:G,"Major")</f>
        <v>0</v>
      </c>
      <c r="Q83" s="7">
        <f>COUNTIFS('Defect List'!C:C,'Job Planning'!G83,'Defect List'!B:B,"Outstanding",'Defect List'!G:G,"Minor")</f>
        <v>0</v>
      </c>
      <c r="R83" s="8" t="str" cm="1">
        <f t="array" ref="R83">_xlfn.TEXTJOIN("
",TRUE,_xlfn._xlws.FILTER('Outstanding Defect (PQ)'!G:G,'Outstanding Defect (PQ)'!B:B='Job Planning'!G83,""))</f>
        <v/>
      </c>
      <c r="S83" s="3"/>
      <c r="T83" s="30" t="str">
        <f>_xlfn.TEXTAFTER(G83,"-",-2)</f>
        <v>GEN-8616</v>
      </c>
      <c r="U83" s="1" t="str">
        <f>IF(_xlfn.XLOOKUP('Job Planning'!$G83,Search!B:B,Search!C:C,"",0)="","",_xlfn.XLOOKUP('Job Planning'!$G83,Search!B:B,Search!C:C,"",0))</f>
        <v/>
      </c>
      <c r="V83" s="1" t="str">
        <f>_xlfn.XLOOKUP('Job Planning'!$T83,Search!A:A,Search!C:C,"",0)</f>
        <v/>
      </c>
      <c r="W83" s="1" t="str">
        <f>_xlfn.XLOOKUP('Job Planning'!$B83,Search!B:B,Search!C:C,"",0)</f>
        <v/>
      </c>
    </row>
    <row r="84" spans="1:23" ht="14.4">
      <c r="A84" s="7" t="s">
        <v>13</v>
      </c>
      <c r="B84" s="7" t="s">
        <v>108</v>
      </c>
      <c r="C84" s="7" t="s">
        <v>8</v>
      </c>
      <c r="D84" s="6" t="str">
        <f>IF(AND('Job Planning'!$L84="",'Job Planning'!$O84=0)=TRUE,"Can Close","Can't")</f>
        <v>Can Close</v>
      </c>
      <c r="E84" s="6" t="str">
        <f>_xlfn.TEXTJOIN(", ",TRUE,IF(N84=0,"","Inspection"),IF('Job Planning'!$O84=0,"","Defect"))</f>
        <v/>
      </c>
      <c r="F84" s="21"/>
      <c r="G84" s="8" t="s">
        <v>367</v>
      </c>
      <c r="H84" s="7" t="s">
        <v>8</v>
      </c>
      <c r="I84" s="7" t="s">
        <v>8</v>
      </c>
      <c r="J84" s="7" t="s">
        <v>8</v>
      </c>
      <c r="K84" s="7" t="s">
        <v>8</v>
      </c>
      <c r="L84" s="19" t="str">
        <f>_xlfn.TEXTJOIN(", ",TRUE,
IF(ISNUMBER(MATCH('Job Planning'!$H84,{"To Be Signed","Started","Awaiting RFI","Outstanding","RFI Scheduled"},0)),"Stage 1",""),
IF(ISNUMBER(MATCH('Job Planning'!$I84,{"To Be Signed","Started","Awaiting RFI","Outstanding","RFI Scheduled"},0)),"Stage 2",""),
IF(ISNUMBER(MATCH('Job Planning'!$J84,{"To Be Signed","Started","Awaiting RFI","Outstanding","RFI Scheduled"},0)),"Stage 3",""),
IF(ISNUMBER(MATCH('Job Planning'!$K84,{"To Be Signed","Started","Awaiting RFI","Outstanding","RFI Scheduled"},0)),"Stage 4",""))</f>
        <v/>
      </c>
      <c r="M84" s="7">
        <f>4-COUNTIF('Job Planning'!$H84:$K84,"N/A")-_xlfn.LET(_xlpm.pending,LEN('Job Planning'!$L84)-LEN(SUBSTITUTE('Job Planning'!$L84,",",""))+1,IF('Job Planning'!$L84="",0,_xlpm.pending))</f>
        <v>4</v>
      </c>
      <c r="N84" s="7">
        <f>_xlfn.LET(_xlpm.pending,LEN('Job Planning'!$L84)-LEN(SUBSTITUTE('Job Planning'!$L84,",",""))+1,IF('Job Planning'!$L84="",0,_xlpm.pending))</f>
        <v>0</v>
      </c>
      <c r="O84" s="7">
        <f>SUM('Job Planning'!$P84:$Q84)</f>
        <v>0</v>
      </c>
      <c r="P84" s="7">
        <f>COUNTIFS('Defect List'!C:C,'Job Planning'!G84,'Defect List'!B:B,"Outstanding",'Defect List'!G:G,"Major")</f>
        <v>0</v>
      </c>
      <c r="Q84" s="7">
        <f>COUNTIFS('Defect List'!C:C,'Job Planning'!G84,'Defect List'!B:B,"Outstanding",'Defect List'!G:G,"Minor")</f>
        <v>0</v>
      </c>
      <c r="R84" s="8" t="str" cm="1">
        <f t="array" ref="R84">_xlfn.TEXTJOIN("
",TRUE,_xlfn._xlws.FILTER('Outstanding Defect (PQ)'!G:G,'Outstanding Defect (PQ)'!B:B='Job Planning'!G84,""))</f>
        <v/>
      </c>
      <c r="S84" s="3"/>
      <c r="T84" s="30" t="str">
        <f>_xlfn.TEXTAFTER(G84,"-",-2)</f>
        <v>GEN-8615</v>
      </c>
      <c r="U84" s="1" t="str">
        <f>IF(_xlfn.XLOOKUP('Job Planning'!$G84,Search!B:B,Search!C:C,"",0)="","",_xlfn.XLOOKUP('Job Planning'!$G84,Search!B:B,Search!C:C,"",0))</f>
        <v/>
      </c>
      <c r="V84" s="1" t="str">
        <f>_xlfn.XLOOKUP('Job Planning'!$T84,Search!A:A,Search!C:C,"",0)</f>
        <v/>
      </c>
      <c r="W84" s="1" t="str">
        <f>_xlfn.XLOOKUP('Job Planning'!$B84,Search!B:B,Search!C:C,"",0)</f>
        <v/>
      </c>
    </row>
    <row r="85" spans="1:23" ht="14.4">
      <c r="A85" s="7" t="s">
        <v>13</v>
      </c>
      <c r="B85" s="7" t="s">
        <v>109</v>
      </c>
      <c r="C85" s="7" t="s">
        <v>8</v>
      </c>
      <c r="D85" s="6" t="str">
        <f>IF(AND('Job Planning'!$L85="",'Job Planning'!$O85=0)=TRUE,"Can Close","Can't")</f>
        <v>Can Close</v>
      </c>
      <c r="E85" s="6" t="str">
        <f>_xlfn.TEXTJOIN(", ",TRUE,IF(N85=0,"","Inspection"),IF('Job Planning'!$O85=0,"","Defect"))</f>
        <v/>
      </c>
      <c r="F85" s="21"/>
      <c r="G85" s="8" t="s">
        <v>368</v>
      </c>
      <c r="H85" s="7" t="s">
        <v>8</v>
      </c>
      <c r="I85" s="7" t="s">
        <v>8</v>
      </c>
      <c r="J85" s="7" t="s">
        <v>8</v>
      </c>
      <c r="K85" s="7" t="s">
        <v>8</v>
      </c>
      <c r="L85" s="19" t="str">
        <f>_xlfn.TEXTJOIN(", ",TRUE,
IF(ISNUMBER(MATCH('Job Planning'!$H85,{"To Be Signed","Started","Awaiting RFI","Outstanding","RFI Scheduled"},0)),"Stage 1",""),
IF(ISNUMBER(MATCH('Job Planning'!$I85,{"To Be Signed","Started","Awaiting RFI","Outstanding","RFI Scheduled"},0)),"Stage 2",""),
IF(ISNUMBER(MATCH('Job Planning'!$J85,{"To Be Signed","Started","Awaiting RFI","Outstanding","RFI Scheduled"},0)),"Stage 3",""),
IF(ISNUMBER(MATCH('Job Planning'!$K85,{"To Be Signed","Started","Awaiting RFI","Outstanding","RFI Scheduled"},0)),"Stage 4",""))</f>
        <v/>
      </c>
      <c r="M85" s="7">
        <f>4-COUNTIF('Job Planning'!$H85:$K85,"N/A")-_xlfn.LET(_xlpm.pending,LEN('Job Planning'!$L85)-LEN(SUBSTITUTE('Job Planning'!$L85,",",""))+1,IF('Job Planning'!$L85="",0,_xlpm.pending))</f>
        <v>4</v>
      </c>
      <c r="N85" s="7">
        <f>_xlfn.LET(_xlpm.pending,LEN('Job Planning'!$L85)-LEN(SUBSTITUTE('Job Planning'!$L85,",",""))+1,IF('Job Planning'!$L85="",0,_xlpm.pending))</f>
        <v>0</v>
      </c>
      <c r="O85" s="7">
        <f>SUM('Job Planning'!$P85:$Q85)</f>
        <v>0</v>
      </c>
      <c r="P85" s="7">
        <f>COUNTIFS('Defect List'!C:C,'Job Planning'!G85,'Defect List'!B:B,"Outstanding",'Defect List'!G:G,"Major")</f>
        <v>0</v>
      </c>
      <c r="Q85" s="7">
        <f>COUNTIFS('Defect List'!C:C,'Job Planning'!G85,'Defect List'!B:B,"Outstanding",'Defect List'!G:G,"Minor")</f>
        <v>0</v>
      </c>
      <c r="R85" s="8" t="str" cm="1">
        <f t="array" ref="R85">_xlfn.TEXTJOIN("
",TRUE,_xlfn._xlws.FILTER('Outstanding Defect (PQ)'!G:G,'Outstanding Defect (PQ)'!B:B='Job Planning'!G85,""))</f>
        <v/>
      </c>
      <c r="S85" s="3"/>
      <c r="T85" s="30" t="str">
        <f>_xlfn.TEXTAFTER(G85,"-",-2)</f>
        <v>GEN-8613</v>
      </c>
      <c r="U85" s="1" t="str">
        <f>IF(_xlfn.XLOOKUP('Job Planning'!$G85,Search!B:B,Search!C:C,"",0)="","",_xlfn.XLOOKUP('Job Planning'!$G85,Search!B:B,Search!C:C,"",0))</f>
        <v/>
      </c>
      <c r="V85" s="1" t="str">
        <f>_xlfn.XLOOKUP('Job Planning'!$T85,Search!A:A,Search!C:C,"",0)</f>
        <v/>
      </c>
      <c r="W85" s="1" t="str">
        <f>_xlfn.XLOOKUP('Job Planning'!$B85,Search!B:B,Search!C:C,"",0)</f>
        <v/>
      </c>
    </row>
    <row r="86" spans="1:23" ht="14.4">
      <c r="A86" s="7" t="s">
        <v>13</v>
      </c>
      <c r="B86" s="7" t="s">
        <v>110</v>
      </c>
      <c r="C86" s="7" t="s">
        <v>8</v>
      </c>
      <c r="D86" s="6" t="str">
        <f>IF(AND('Job Planning'!$L86="",'Job Planning'!$O86=0)=TRUE,"Can Close","Can't")</f>
        <v>Can Close</v>
      </c>
      <c r="E86" s="6" t="str">
        <f>_xlfn.TEXTJOIN(", ",TRUE,IF(N86=0,"","Inspection"),IF('Job Planning'!$O86=0,"","Defect"))</f>
        <v/>
      </c>
      <c r="F86" s="21"/>
      <c r="G86" s="8" t="s">
        <v>369</v>
      </c>
      <c r="H86" s="7" t="s">
        <v>8</v>
      </c>
      <c r="I86" s="7" t="s">
        <v>8</v>
      </c>
      <c r="J86" s="7" t="s">
        <v>8</v>
      </c>
      <c r="K86" s="7" t="s">
        <v>8</v>
      </c>
      <c r="L86" s="19" t="str">
        <f>_xlfn.TEXTJOIN(", ",TRUE,
IF(ISNUMBER(MATCH('Job Planning'!$H86,{"To Be Signed","Started","Awaiting RFI","Outstanding","RFI Scheduled"},0)),"Stage 1",""),
IF(ISNUMBER(MATCH('Job Planning'!$I86,{"To Be Signed","Started","Awaiting RFI","Outstanding","RFI Scheduled"},0)),"Stage 2",""),
IF(ISNUMBER(MATCH('Job Planning'!$J86,{"To Be Signed","Started","Awaiting RFI","Outstanding","RFI Scheduled"},0)),"Stage 3",""),
IF(ISNUMBER(MATCH('Job Planning'!$K86,{"To Be Signed","Started","Awaiting RFI","Outstanding","RFI Scheduled"},0)),"Stage 4",""))</f>
        <v/>
      </c>
      <c r="M86" s="7">
        <f>4-COUNTIF('Job Planning'!$H86:$K86,"N/A")-_xlfn.LET(_xlpm.pending,LEN('Job Planning'!$L86)-LEN(SUBSTITUTE('Job Planning'!$L86,",",""))+1,IF('Job Planning'!$L86="",0,_xlpm.pending))</f>
        <v>4</v>
      </c>
      <c r="N86" s="7">
        <f>_xlfn.LET(_xlpm.pending,LEN('Job Planning'!$L86)-LEN(SUBSTITUTE('Job Planning'!$L86,",",""))+1,IF('Job Planning'!$L86="",0,_xlpm.pending))</f>
        <v>0</v>
      </c>
      <c r="O86" s="7">
        <f>SUM('Job Planning'!$P86:$Q86)</f>
        <v>0</v>
      </c>
      <c r="P86" s="7">
        <f>COUNTIFS('Defect List'!C:C,'Job Planning'!G86,'Defect List'!B:B,"Outstanding",'Defect List'!G:G,"Major")</f>
        <v>0</v>
      </c>
      <c r="Q86" s="7">
        <f>COUNTIFS('Defect List'!C:C,'Job Planning'!G86,'Defect List'!B:B,"Outstanding",'Defect List'!G:G,"Minor")</f>
        <v>0</v>
      </c>
      <c r="R86" s="8" t="str" cm="1">
        <f t="array" ref="R86">_xlfn.TEXTJOIN("
",TRUE,_xlfn._xlws.FILTER('Outstanding Defect (PQ)'!G:G,'Outstanding Defect (PQ)'!B:B='Job Planning'!G86,""))</f>
        <v/>
      </c>
      <c r="S86" s="3"/>
      <c r="T86" s="30" t="str">
        <f>_xlfn.TEXTAFTER(G86,"-",-2)</f>
        <v>GEN-8612</v>
      </c>
      <c r="U86" s="1" t="str">
        <f>IF(_xlfn.XLOOKUP('Job Planning'!$G86,Search!B:B,Search!C:C,"",0)="","",_xlfn.XLOOKUP('Job Planning'!$G86,Search!B:B,Search!C:C,"",0))</f>
        <v/>
      </c>
      <c r="V86" s="1" t="str">
        <f>_xlfn.XLOOKUP('Job Planning'!$T86,Search!A:A,Search!C:C,"",0)</f>
        <v/>
      </c>
      <c r="W86" s="1" t="str">
        <f>_xlfn.XLOOKUP('Job Planning'!$B86,Search!B:B,Search!C:C,"",0)</f>
        <v/>
      </c>
    </row>
    <row r="87" spans="1:23" ht="14.4">
      <c r="A87" s="7" t="s">
        <v>13</v>
      </c>
      <c r="B87" s="7" t="s">
        <v>111</v>
      </c>
      <c r="C87" s="7" t="s">
        <v>8</v>
      </c>
      <c r="D87" s="6" t="str">
        <f>IF(AND('Job Planning'!$L87="",'Job Planning'!$O87=0)=TRUE,"Can Close","Can't")</f>
        <v>Can Close</v>
      </c>
      <c r="E87" s="6" t="str">
        <f>_xlfn.TEXTJOIN(", ",TRUE,IF(N87=0,"","Inspection"),IF('Job Planning'!$O87=0,"","Defect"))</f>
        <v/>
      </c>
      <c r="F87" s="21"/>
      <c r="G87" s="8" t="s">
        <v>370</v>
      </c>
      <c r="H87" s="7" t="s">
        <v>8</v>
      </c>
      <c r="I87" s="7" t="s">
        <v>8</v>
      </c>
      <c r="J87" s="7" t="s">
        <v>8</v>
      </c>
      <c r="K87" s="7" t="s">
        <v>8</v>
      </c>
      <c r="L87" s="19" t="str">
        <f>_xlfn.TEXTJOIN(", ",TRUE,
IF(ISNUMBER(MATCH('Job Planning'!$H87,{"To Be Signed","Started","Awaiting RFI","Outstanding","RFI Scheduled"},0)),"Stage 1",""),
IF(ISNUMBER(MATCH('Job Planning'!$I87,{"To Be Signed","Started","Awaiting RFI","Outstanding","RFI Scheduled"},0)),"Stage 2",""),
IF(ISNUMBER(MATCH('Job Planning'!$J87,{"To Be Signed","Started","Awaiting RFI","Outstanding","RFI Scheduled"},0)),"Stage 3",""),
IF(ISNUMBER(MATCH('Job Planning'!$K87,{"To Be Signed","Started","Awaiting RFI","Outstanding","RFI Scheduled"},0)),"Stage 4",""))</f>
        <v/>
      </c>
      <c r="M87" s="7">
        <f>4-COUNTIF('Job Planning'!$H87:$K87,"N/A")-_xlfn.LET(_xlpm.pending,LEN('Job Planning'!$L87)-LEN(SUBSTITUTE('Job Planning'!$L87,",",""))+1,IF('Job Planning'!$L87="",0,_xlpm.pending))</f>
        <v>4</v>
      </c>
      <c r="N87" s="7">
        <f>_xlfn.LET(_xlpm.pending,LEN('Job Planning'!$L87)-LEN(SUBSTITUTE('Job Planning'!$L87,",",""))+1,IF('Job Planning'!$L87="",0,_xlpm.pending))</f>
        <v>0</v>
      </c>
      <c r="O87" s="7">
        <f>SUM('Job Planning'!$P87:$Q87)</f>
        <v>0</v>
      </c>
      <c r="P87" s="7">
        <f>COUNTIFS('Defect List'!C:C,'Job Planning'!G87,'Defect List'!B:B,"Outstanding",'Defect List'!G:G,"Major")</f>
        <v>0</v>
      </c>
      <c r="Q87" s="7">
        <f>COUNTIFS('Defect List'!C:C,'Job Planning'!G87,'Defect List'!B:B,"Outstanding",'Defect List'!G:G,"Minor")</f>
        <v>0</v>
      </c>
      <c r="R87" s="8" t="str" cm="1">
        <f t="array" ref="R87">_xlfn.TEXTJOIN("
",TRUE,_xlfn._xlws.FILTER('Outstanding Defect (PQ)'!G:G,'Outstanding Defect (PQ)'!B:B='Job Planning'!G87,""))</f>
        <v/>
      </c>
      <c r="S87" s="3"/>
      <c r="T87" s="30" t="str">
        <f>_xlfn.TEXTAFTER(G87,"-",-2)</f>
        <v>GEN-8610</v>
      </c>
      <c r="U87" s="1" t="str">
        <f>IF(_xlfn.XLOOKUP('Job Planning'!$G87,Search!B:B,Search!C:C,"",0)="","",_xlfn.XLOOKUP('Job Planning'!$G87,Search!B:B,Search!C:C,"",0))</f>
        <v/>
      </c>
      <c r="V87" s="1" t="str">
        <f>_xlfn.XLOOKUP('Job Planning'!$T87,Search!A:A,Search!C:C,"",0)</f>
        <v/>
      </c>
      <c r="W87" s="1" t="str">
        <f>_xlfn.XLOOKUP('Job Planning'!$B87,Search!B:B,Search!C:C,"",0)</f>
        <v/>
      </c>
    </row>
    <row r="88" spans="1:23" ht="14.4">
      <c r="A88" s="7" t="s">
        <v>13</v>
      </c>
      <c r="B88" s="7" t="s">
        <v>112</v>
      </c>
      <c r="C88" s="7" t="s">
        <v>8</v>
      </c>
      <c r="D88" s="6" t="str">
        <f>IF(AND('Job Planning'!$L88="",'Job Planning'!$O88=0)=TRUE,"Can Close","Can't")</f>
        <v>Can Close</v>
      </c>
      <c r="E88" s="6" t="str">
        <f>_xlfn.TEXTJOIN(", ",TRUE,IF(N88=0,"","Inspection"),IF('Job Planning'!$O88=0,"","Defect"))</f>
        <v/>
      </c>
      <c r="F88" s="21"/>
      <c r="G88" s="8" t="s">
        <v>371</v>
      </c>
      <c r="H88" s="7" t="s">
        <v>8</v>
      </c>
      <c r="I88" s="7" t="s">
        <v>8</v>
      </c>
      <c r="J88" s="7" t="s">
        <v>8</v>
      </c>
      <c r="K88" s="7" t="s">
        <v>8</v>
      </c>
      <c r="L88" s="19" t="str">
        <f>_xlfn.TEXTJOIN(", ",TRUE,
IF(ISNUMBER(MATCH('Job Planning'!$H88,{"To Be Signed","Started","Awaiting RFI","Outstanding","RFI Scheduled"},0)),"Stage 1",""),
IF(ISNUMBER(MATCH('Job Planning'!$I88,{"To Be Signed","Started","Awaiting RFI","Outstanding","RFI Scheduled"},0)),"Stage 2",""),
IF(ISNUMBER(MATCH('Job Planning'!$J88,{"To Be Signed","Started","Awaiting RFI","Outstanding","RFI Scheduled"},0)),"Stage 3",""),
IF(ISNUMBER(MATCH('Job Planning'!$K88,{"To Be Signed","Started","Awaiting RFI","Outstanding","RFI Scheduled"},0)),"Stage 4",""))</f>
        <v/>
      </c>
      <c r="M88" s="7">
        <f>4-COUNTIF('Job Planning'!$H88:$K88,"N/A")-_xlfn.LET(_xlpm.pending,LEN('Job Planning'!$L88)-LEN(SUBSTITUTE('Job Planning'!$L88,",",""))+1,IF('Job Planning'!$L88="",0,_xlpm.pending))</f>
        <v>4</v>
      </c>
      <c r="N88" s="7">
        <f>_xlfn.LET(_xlpm.pending,LEN('Job Planning'!$L88)-LEN(SUBSTITUTE('Job Planning'!$L88,",",""))+1,IF('Job Planning'!$L88="",0,_xlpm.pending))</f>
        <v>0</v>
      </c>
      <c r="O88" s="7">
        <f>SUM('Job Planning'!$P88:$Q88)</f>
        <v>0</v>
      </c>
      <c r="P88" s="7">
        <f>COUNTIFS('Defect List'!C:C,'Job Planning'!G88,'Defect List'!B:B,"Outstanding",'Defect List'!G:G,"Major")</f>
        <v>0</v>
      </c>
      <c r="Q88" s="7">
        <f>COUNTIFS('Defect List'!C:C,'Job Planning'!G88,'Defect List'!B:B,"Outstanding",'Defect List'!G:G,"Minor")</f>
        <v>0</v>
      </c>
      <c r="R88" s="8" t="str" cm="1">
        <f t="array" ref="R88">_xlfn.TEXTJOIN("
",TRUE,_xlfn._xlws.FILTER('Outstanding Defect (PQ)'!G:G,'Outstanding Defect (PQ)'!B:B='Job Planning'!G88,""))</f>
        <v/>
      </c>
      <c r="S88" s="3"/>
      <c r="T88" s="30" t="str">
        <f>_xlfn.TEXTAFTER(G88,"-",-2)</f>
        <v>GEN-8609</v>
      </c>
      <c r="U88" s="1" t="str">
        <f>IF(_xlfn.XLOOKUP('Job Planning'!$G88,Search!B:B,Search!C:C,"",0)="","",_xlfn.XLOOKUP('Job Planning'!$G88,Search!B:B,Search!C:C,"",0))</f>
        <v/>
      </c>
      <c r="V88" s="1" t="str">
        <f>_xlfn.XLOOKUP('Job Planning'!$T88,Search!A:A,Search!C:C,"",0)</f>
        <v/>
      </c>
      <c r="W88" s="1" t="str">
        <f>_xlfn.XLOOKUP('Job Planning'!$B88,Search!B:B,Search!C:C,"",0)</f>
        <v/>
      </c>
    </row>
    <row r="89" spans="1:23" ht="14.4">
      <c r="A89" s="7" t="s">
        <v>13</v>
      </c>
      <c r="B89" s="7" t="s">
        <v>113</v>
      </c>
      <c r="C89" s="7" t="s">
        <v>8</v>
      </c>
      <c r="D89" s="6" t="str">
        <f>IF(AND('Job Planning'!$L89="",'Job Planning'!$O89=0)=TRUE,"Can Close","Can't")</f>
        <v>Can Close</v>
      </c>
      <c r="E89" s="6" t="str">
        <f>_xlfn.TEXTJOIN(", ",TRUE,IF(N89=0,"","Inspection"),IF('Job Planning'!$O89=0,"","Defect"))</f>
        <v/>
      </c>
      <c r="F89" s="21"/>
      <c r="G89" s="8" t="s">
        <v>372</v>
      </c>
      <c r="H89" s="7" t="s">
        <v>8</v>
      </c>
      <c r="I89" s="7" t="s">
        <v>8</v>
      </c>
      <c r="J89" s="7" t="s">
        <v>8</v>
      </c>
      <c r="K89" s="7" t="s">
        <v>8</v>
      </c>
      <c r="L89" s="19" t="str">
        <f>_xlfn.TEXTJOIN(", ",TRUE,
IF(ISNUMBER(MATCH('Job Planning'!$H89,{"To Be Signed","Started","Awaiting RFI","Outstanding","RFI Scheduled"},0)),"Stage 1",""),
IF(ISNUMBER(MATCH('Job Planning'!$I89,{"To Be Signed","Started","Awaiting RFI","Outstanding","RFI Scheduled"},0)),"Stage 2",""),
IF(ISNUMBER(MATCH('Job Planning'!$J89,{"To Be Signed","Started","Awaiting RFI","Outstanding","RFI Scheduled"},0)),"Stage 3",""),
IF(ISNUMBER(MATCH('Job Planning'!$K89,{"To Be Signed","Started","Awaiting RFI","Outstanding","RFI Scheduled"},0)),"Stage 4",""))</f>
        <v/>
      </c>
      <c r="M89" s="7">
        <f>4-COUNTIF('Job Planning'!$H89:$K89,"N/A")-_xlfn.LET(_xlpm.pending,LEN('Job Planning'!$L89)-LEN(SUBSTITUTE('Job Planning'!$L89,",",""))+1,IF('Job Planning'!$L89="",0,_xlpm.pending))</f>
        <v>4</v>
      </c>
      <c r="N89" s="7">
        <f>_xlfn.LET(_xlpm.pending,LEN('Job Planning'!$L89)-LEN(SUBSTITUTE('Job Planning'!$L89,",",""))+1,IF('Job Planning'!$L89="",0,_xlpm.pending))</f>
        <v>0</v>
      </c>
      <c r="O89" s="7">
        <f>SUM('Job Planning'!$P89:$Q89)</f>
        <v>0</v>
      </c>
      <c r="P89" s="7">
        <f>COUNTIFS('Defect List'!C:C,'Job Planning'!G89,'Defect List'!B:B,"Outstanding",'Defect List'!G:G,"Major")</f>
        <v>0</v>
      </c>
      <c r="Q89" s="7">
        <f>COUNTIFS('Defect List'!C:C,'Job Planning'!G89,'Defect List'!B:B,"Outstanding",'Defect List'!G:G,"Minor")</f>
        <v>0</v>
      </c>
      <c r="R89" s="8" t="str" cm="1">
        <f t="array" ref="R89">_xlfn.TEXTJOIN("
",TRUE,_xlfn._xlws.FILTER('Outstanding Defect (PQ)'!G:G,'Outstanding Defect (PQ)'!B:B='Job Planning'!G89,""))</f>
        <v/>
      </c>
      <c r="S89" s="3"/>
      <c r="T89" s="30" t="str">
        <f>_xlfn.TEXTAFTER(G89,"-",-2)</f>
        <v>GEN-8607</v>
      </c>
      <c r="U89" s="1" t="str">
        <f>IF(_xlfn.XLOOKUP('Job Planning'!$G89,Search!B:B,Search!C:C,"",0)="","",_xlfn.XLOOKUP('Job Planning'!$G89,Search!B:B,Search!C:C,"",0))</f>
        <v/>
      </c>
      <c r="V89" s="1" t="str">
        <f>_xlfn.XLOOKUP('Job Planning'!$T89,Search!A:A,Search!C:C,"",0)</f>
        <v/>
      </c>
      <c r="W89" s="1" t="str">
        <f>_xlfn.XLOOKUP('Job Planning'!$B89,Search!B:B,Search!C:C,"",0)</f>
        <v/>
      </c>
    </row>
    <row r="90" spans="1:23" ht="14.4">
      <c r="A90" s="7" t="s">
        <v>13</v>
      </c>
      <c r="B90" s="7" t="s">
        <v>114</v>
      </c>
      <c r="C90" s="7" t="s">
        <v>8</v>
      </c>
      <c r="D90" s="6" t="str">
        <f>IF(AND('Job Planning'!$L90="",'Job Planning'!$O90=0)=TRUE,"Can Close","Can't")</f>
        <v>Can Close</v>
      </c>
      <c r="E90" s="6" t="str">
        <f>_xlfn.TEXTJOIN(", ",TRUE,IF(N90=0,"","Inspection"),IF('Job Planning'!$O90=0,"","Defect"))</f>
        <v/>
      </c>
      <c r="F90" s="21"/>
      <c r="G90" s="8" t="s">
        <v>373</v>
      </c>
      <c r="H90" s="7" t="s">
        <v>8</v>
      </c>
      <c r="I90" s="7" t="s">
        <v>8</v>
      </c>
      <c r="J90" s="7" t="s">
        <v>8</v>
      </c>
      <c r="K90" s="7" t="s">
        <v>8</v>
      </c>
      <c r="L90" s="19" t="str">
        <f>_xlfn.TEXTJOIN(", ",TRUE,
IF(ISNUMBER(MATCH('Job Planning'!$H90,{"To Be Signed","Started","Awaiting RFI","Outstanding","RFI Scheduled"},0)),"Stage 1",""),
IF(ISNUMBER(MATCH('Job Planning'!$I90,{"To Be Signed","Started","Awaiting RFI","Outstanding","RFI Scheduled"},0)),"Stage 2",""),
IF(ISNUMBER(MATCH('Job Planning'!$J90,{"To Be Signed","Started","Awaiting RFI","Outstanding","RFI Scheduled"},0)),"Stage 3",""),
IF(ISNUMBER(MATCH('Job Planning'!$K90,{"To Be Signed","Started","Awaiting RFI","Outstanding","RFI Scheduled"},0)),"Stage 4",""))</f>
        <v/>
      </c>
      <c r="M90" s="7">
        <f>4-COUNTIF('Job Planning'!$H90:$K90,"N/A")-_xlfn.LET(_xlpm.pending,LEN('Job Planning'!$L90)-LEN(SUBSTITUTE('Job Planning'!$L90,",",""))+1,IF('Job Planning'!$L90="",0,_xlpm.pending))</f>
        <v>4</v>
      </c>
      <c r="N90" s="7">
        <f>_xlfn.LET(_xlpm.pending,LEN('Job Planning'!$L90)-LEN(SUBSTITUTE('Job Planning'!$L90,",",""))+1,IF('Job Planning'!$L90="",0,_xlpm.pending))</f>
        <v>0</v>
      </c>
      <c r="O90" s="7">
        <f>SUM('Job Planning'!$P90:$Q90)</f>
        <v>0</v>
      </c>
      <c r="P90" s="7">
        <f>COUNTIFS('Defect List'!C:C,'Job Planning'!G90,'Defect List'!B:B,"Outstanding",'Defect List'!G:G,"Major")</f>
        <v>0</v>
      </c>
      <c r="Q90" s="7">
        <f>COUNTIFS('Defect List'!C:C,'Job Planning'!G90,'Defect List'!B:B,"Outstanding",'Defect List'!G:G,"Minor")</f>
        <v>0</v>
      </c>
      <c r="R90" s="8" t="str" cm="1">
        <f t="array" ref="R90">_xlfn.TEXTJOIN("
",TRUE,_xlfn._xlws.FILTER('Outstanding Defect (PQ)'!G:G,'Outstanding Defect (PQ)'!B:B='Job Planning'!G90,""))</f>
        <v/>
      </c>
      <c r="S90" s="3"/>
      <c r="T90" s="30" t="str">
        <f>_xlfn.TEXTAFTER(G90,"-",-2)</f>
        <v>GEN-8606</v>
      </c>
      <c r="U90" s="1" t="str">
        <f>IF(_xlfn.XLOOKUP('Job Planning'!$G90,Search!B:B,Search!C:C,"",0)="","",_xlfn.XLOOKUP('Job Planning'!$G90,Search!B:B,Search!C:C,"",0))</f>
        <v/>
      </c>
      <c r="V90" s="1" t="str">
        <f>_xlfn.XLOOKUP('Job Planning'!$T90,Search!A:A,Search!C:C,"",0)</f>
        <v/>
      </c>
      <c r="W90" s="1" t="str">
        <f>_xlfn.XLOOKUP('Job Planning'!$B90,Search!B:B,Search!C:C,"",0)</f>
        <v/>
      </c>
    </row>
    <row r="91" spans="1:23" ht="14.4">
      <c r="A91" s="7" t="s">
        <v>13</v>
      </c>
      <c r="B91" s="7" t="s">
        <v>115</v>
      </c>
      <c r="C91" s="7" t="s">
        <v>8</v>
      </c>
      <c r="D91" s="6" t="str">
        <f>IF(AND('Job Planning'!$L91="",'Job Planning'!$O91=0)=TRUE,"Can Close","Can't")</f>
        <v>Can Close</v>
      </c>
      <c r="E91" s="6" t="str">
        <f>_xlfn.TEXTJOIN(", ",TRUE,IF(N91=0,"","Inspection"),IF('Job Planning'!$O91=0,"","Defect"))</f>
        <v/>
      </c>
      <c r="F91" s="21"/>
      <c r="G91" s="8" t="s">
        <v>374</v>
      </c>
      <c r="H91" s="7" t="s">
        <v>8</v>
      </c>
      <c r="I91" s="7" t="s">
        <v>8</v>
      </c>
      <c r="J91" s="7" t="s">
        <v>8</v>
      </c>
      <c r="K91" s="7" t="s">
        <v>8</v>
      </c>
      <c r="L91" s="19" t="str">
        <f>_xlfn.TEXTJOIN(", ",TRUE,
IF(ISNUMBER(MATCH('Job Planning'!$H91,{"To Be Signed","Started","Awaiting RFI","Outstanding","RFI Scheduled"},0)),"Stage 1",""),
IF(ISNUMBER(MATCH('Job Planning'!$I91,{"To Be Signed","Started","Awaiting RFI","Outstanding","RFI Scheduled"},0)),"Stage 2",""),
IF(ISNUMBER(MATCH('Job Planning'!$J91,{"To Be Signed","Started","Awaiting RFI","Outstanding","RFI Scheduled"},0)),"Stage 3",""),
IF(ISNUMBER(MATCH('Job Planning'!$K91,{"To Be Signed","Started","Awaiting RFI","Outstanding","RFI Scheduled"},0)),"Stage 4",""))</f>
        <v/>
      </c>
      <c r="M91" s="7">
        <f>4-COUNTIF('Job Planning'!$H91:$K91,"N/A")-_xlfn.LET(_xlpm.pending,LEN('Job Planning'!$L91)-LEN(SUBSTITUTE('Job Planning'!$L91,",",""))+1,IF('Job Planning'!$L91="",0,_xlpm.pending))</f>
        <v>4</v>
      </c>
      <c r="N91" s="7">
        <f>_xlfn.LET(_xlpm.pending,LEN('Job Planning'!$L91)-LEN(SUBSTITUTE('Job Planning'!$L91,",",""))+1,IF('Job Planning'!$L91="",0,_xlpm.pending))</f>
        <v>0</v>
      </c>
      <c r="O91" s="7">
        <f>SUM('Job Planning'!$P91:$Q91)</f>
        <v>0</v>
      </c>
      <c r="P91" s="7">
        <f>COUNTIFS('Defect List'!C:C,'Job Planning'!G91,'Defect List'!B:B,"Outstanding",'Defect List'!G:G,"Major")</f>
        <v>0</v>
      </c>
      <c r="Q91" s="7">
        <f>COUNTIFS('Defect List'!C:C,'Job Planning'!G91,'Defect List'!B:B,"Outstanding",'Defect List'!G:G,"Minor")</f>
        <v>0</v>
      </c>
      <c r="R91" s="8" t="str" cm="1">
        <f t="array" ref="R91">_xlfn.TEXTJOIN("
",TRUE,_xlfn._xlws.FILTER('Outstanding Defect (PQ)'!G:G,'Outstanding Defect (PQ)'!B:B='Job Planning'!G91,""))</f>
        <v/>
      </c>
      <c r="S91" s="3"/>
      <c r="T91" s="30" t="str">
        <f>_xlfn.TEXTAFTER(G91,"-",-2)</f>
        <v>MECH-8667</v>
      </c>
      <c r="U91" s="1" t="str">
        <f>IF(_xlfn.XLOOKUP('Job Planning'!$G91,Search!B:B,Search!C:C,"",0)="","",_xlfn.XLOOKUP('Job Planning'!$G91,Search!B:B,Search!C:C,"",0))</f>
        <v/>
      </c>
      <c r="V91" s="1" t="str">
        <f>_xlfn.XLOOKUP('Job Planning'!$T91,Search!A:A,Search!C:C,"",0)</f>
        <v/>
      </c>
      <c r="W91" s="1" t="str">
        <f>_xlfn.XLOOKUP('Job Planning'!$B91,Search!B:B,Search!C:C,"",0)</f>
        <v/>
      </c>
    </row>
    <row r="92" spans="1:23" ht="14.4">
      <c r="A92" s="7" t="s">
        <v>13</v>
      </c>
      <c r="B92" s="7" t="s">
        <v>116</v>
      </c>
      <c r="C92" s="7" t="s">
        <v>8</v>
      </c>
      <c r="D92" s="6" t="str">
        <f>IF(AND('Job Planning'!$L92="",'Job Planning'!$O92=0)=TRUE,"Can Close","Can't")</f>
        <v>Can Close</v>
      </c>
      <c r="E92" s="6" t="str">
        <f>_xlfn.TEXTJOIN(", ",TRUE,IF(N92=0,"","Inspection"),IF('Job Planning'!$O92=0,"","Defect"))</f>
        <v/>
      </c>
      <c r="F92" s="21"/>
      <c r="G92" s="8" t="s">
        <v>375</v>
      </c>
      <c r="H92" s="7" t="s">
        <v>8</v>
      </c>
      <c r="I92" s="7" t="s">
        <v>8</v>
      </c>
      <c r="J92" s="7" t="s">
        <v>8</v>
      </c>
      <c r="K92" s="7" t="s">
        <v>8</v>
      </c>
      <c r="L92" s="19" t="str">
        <f>_xlfn.TEXTJOIN(", ",TRUE,
IF(ISNUMBER(MATCH('Job Planning'!$H92,{"To Be Signed","Started","Awaiting RFI","Outstanding","RFI Scheduled"},0)),"Stage 1",""),
IF(ISNUMBER(MATCH('Job Planning'!$I92,{"To Be Signed","Started","Awaiting RFI","Outstanding","RFI Scheduled"},0)),"Stage 2",""),
IF(ISNUMBER(MATCH('Job Planning'!$J92,{"To Be Signed","Started","Awaiting RFI","Outstanding","RFI Scheduled"},0)),"Stage 3",""),
IF(ISNUMBER(MATCH('Job Planning'!$K92,{"To Be Signed","Started","Awaiting RFI","Outstanding","RFI Scheduled"},0)),"Stage 4",""))</f>
        <v/>
      </c>
      <c r="M92" s="7">
        <f>4-COUNTIF('Job Planning'!$H92:$K92,"N/A")-_xlfn.LET(_xlpm.pending,LEN('Job Planning'!$L92)-LEN(SUBSTITUTE('Job Planning'!$L92,",",""))+1,IF('Job Planning'!$L92="",0,_xlpm.pending))</f>
        <v>4</v>
      </c>
      <c r="N92" s="7">
        <f>_xlfn.LET(_xlpm.pending,LEN('Job Planning'!$L92)-LEN(SUBSTITUTE('Job Planning'!$L92,",",""))+1,IF('Job Planning'!$L92="",0,_xlpm.pending))</f>
        <v>0</v>
      </c>
      <c r="O92" s="7">
        <f>SUM('Job Planning'!$P92:$Q92)</f>
        <v>0</v>
      </c>
      <c r="P92" s="7">
        <f>COUNTIFS('Defect List'!C:C,'Job Planning'!G92,'Defect List'!B:B,"Outstanding",'Defect List'!G:G,"Major")</f>
        <v>0</v>
      </c>
      <c r="Q92" s="7">
        <f>COUNTIFS('Defect List'!C:C,'Job Planning'!G92,'Defect List'!B:B,"Outstanding",'Defect List'!G:G,"Minor")</f>
        <v>0</v>
      </c>
      <c r="R92" s="8" t="str" cm="1">
        <f t="array" ref="R92">_xlfn.TEXTJOIN("
",TRUE,_xlfn._xlws.FILTER('Outstanding Defect (PQ)'!G:G,'Outstanding Defect (PQ)'!B:B='Job Planning'!G92,""))</f>
        <v/>
      </c>
      <c r="S92" s="3"/>
      <c r="T92" s="30" t="str">
        <f>_xlfn.TEXTAFTER(G92,"-",-2)</f>
        <v>QA-8604</v>
      </c>
      <c r="U92" s="1" t="str">
        <f>IF(_xlfn.XLOOKUP('Job Planning'!$G92,Search!B:B,Search!C:C,"",0)="","",_xlfn.XLOOKUP('Job Planning'!$G92,Search!B:B,Search!C:C,"",0))</f>
        <v/>
      </c>
      <c r="V92" s="1" t="str">
        <f>_xlfn.XLOOKUP('Job Planning'!$T92,Search!A:A,Search!C:C,"",0)</f>
        <v/>
      </c>
      <c r="W92" s="1" t="str">
        <f>_xlfn.XLOOKUP('Job Planning'!$B92,Search!B:B,Search!C:C,"",0)</f>
        <v/>
      </c>
    </row>
    <row r="93" spans="1:23" ht="14.4">
      <c r="A93" s="7" t="s">
        <v>13</v>
      </c>
      <c r="B93" s="7" t="s">
        <v>117</v>
      </c>
      <c r="C93" s="7" t="s">
        <v>8</v>
      </c>
      <c r="D93" s="6" t="str">
        <f>IF(AND('Job Planning'!$L93="",'Job Planning'!$O93=0)=TRUE,"Can Close","Can't")</f>
        <v>Can Close</v>
      </c>
      <c r="E93" s="6" t="str">
        <f>_xlfn.TEXTJOIN(", ",TRUE,IF(N93=0,"","Inspection"),IF('Job Planning'!$O93=0,"","Defect"))</f>
        <v/>
      </c>
      <c r="F93" s="21"/>
      <c r="G93" s="8" t="s">
        <v>376</v>
      </c>
      <c r="H93" s="7" t="s">
        <v>8</v>
      </c>
      <c r="I93" s="7" t="s">
        <v>8</v>
      </c>
      <c r="J93" s="7" t="s">
        <v>8</v>
      </c>
      <c r="K93" s="7" t="s">
        <v>8</v>
      </c>
      <c r="L93" s="19" t="str">
        <f>_xlfn.TEXTJOIN(", ",TRUE,
IF(ISNUMBER(MATCH('Job Planning'!$H93,{"To Be Signed","Started","Awaiting RFI","Outstanding","RFI Scheduled"},0)),"Stage 1",""),
IF(ISNUMBER(MATCH('Job Planning'!$I93,{"To Be Signed","Started","Awaiting RFI","Outstanding","RFI Scheduled"},0)),"Stage 2",""),
IF(ISNUMBER(MATCH('Job Planning'!$J93,{"To Be Signed","Started","Awaiting RFI","Outstanding","RFI Scheduled"},0)),"Stage 3",""),
IF(ISNUMBER(MATCH('Job Planning'!$K93,{"To Be Signed","Started","Awaiting RFI","Outstanding","RFI Scheduled"},0)),"Stage 4",""))</f>
        <v/>
      </c>
      <c r="M93" s="7">
        <f>4-COUNTIF('Job Planning'!$H93:$K93,"N/A")-_xlfn.LET(_xlpm.pending,LEN('Job Planning'!$L93)-LEN(SUBSTITUTE('Job Planning'!$L93,",",""))+1,IF('Job Planning'!$L93="",0,_xlpm.pending))</f>
        <v>4</v>
      </c>
      <c r="N93" s="7">
        <f>_xlfn.LET(_xlpm.pending,LEN('Job Planning'!$L93)-LEN(SUBSTITUTE('Job Planning'!$L93,",",""))+1,IF('Job Planning'!$L93="",0,_xlpm.pending))</f>
        <v>0</v>
      </c>
      <c r="O93" s="7">
        <f>SUM('Job Planning'!$P93:$Q93)</f>
        <v>0</v>
      </c>
      <c r="P93" s="7">
        <f>COUNTIFS('Defect List'!C:C,'Job Planning'!G93,'Defect List'!B:B,"Outstanding",'Defect List'!G:G,"Major")</f>
        <v>0</v>
      </c>
      <c r="Q93" s="7">
        <f>COUNTIFS('Defect List'!C:C,'Job Planning'!G93,'Defect List'!B:B,"Outstanding",'Defect List'!G:G,"Minor")</f>
        <v>0</v>
      </c>
      <c r="R93" s="8" t="str" cm="1">
        <f t="array" ref="R93">_xlfn.TEXTJOIN("
",TRUE,_xlfn._xlws.FILTER('Outstanding Defect (PQ)'!G:G,'Outstanding Defect (PQ)'!B:B='Job Planning'!G93,""))</f>
        <v/>
      </c>
      <c r="S93" s="3"/>
      <c r="T93" s="30" t="str">
        <f>_xlfn.TEXTAFTER(G93,"-",-2)</f>
        <v>QA-8603</v>
      </c>
      <c r="U93" s="1" t="str">
        <f>IF(_xlfn.XLOOKUP('Job Planning'!$G93,Search!B:B,Search!C:C,"",0)="","",_xlfn.XLOOKUP('Job Planning'!$G93,Search!B:B,Search!C:C,"",0))</f>
        <v/>
      </c>
      <c r="V93" s="1" t="str">
        <f>_xlfn.XLOOKUP('Job Planning'!$T93,Search!A:A,Search!C:C,"",0)</f>
        <v/>
      </c>
      <c r="W93" s="1" t="str">
        <f>_xlfn.XLOOKUP('Job Planning'!$B93,Search!B:B,Search!C:C,"",0)</f>
        <v/>
      </c>
    </row>
    <row r="94" spans="1:23" ht="14.4">
      <c r="A94" s="7" t="s">
        <v>13</v>
      </c>
      <c r="B94" s="7" t="s">
        <v>118</v>
      </c>
      <c r="C94" s="7" t="s">
        <v>8</v>
      </c>
      <c r="D94" s="6" t="str">
        <f>IF(AND('Job Planning'!$L94="",'Job Planning'!$O94=0)=TRUE,"Can Close","Can't")</f>
        <v>Can Close</v>
      </c>
      <c r="E94" s="6" t="str">
        <f>_xlfn.TEXTJOIN(", ",TRUE,IF(N94=0,"","Inspection"),IF('Job Planning'!$O94=0,"","Defect"))</f>
        <v/>
      </c>
      <c r="F94" s="21"/>
      <c r="G94" s="8" t="s">
        <v>377</v>
      </c>
      <c r="H94" s="7" t="s">
        <v>8</v>
      </c>
      <c r="I94" s="7" t="s">
        <v>8</v>
      </c>
      <c r="J94" s="7" t="s">
        <v>8</v>
      </c>
      <c r="K94" s="7" t="s">
        <v>8</v>
      </c>
      <c r="L94" s="19" t="str">
        <f>_xlfn.TEXTJOIN(", ",TRUE,
IF(ISNUMBER(MATCH('Job Planning'!$H94,{"To Be Signed","Started","Awaiting RFI","Outstanding","RFI Scheduled"},0)),"Stage 1",""),
IF(ISNUMBER(MATCH('Job Planning'!$I94,{"To Be Signed","Started","Awaiting RFI","Outstanding","RFI Scheduled"},0)),"Stage 2",""),
IF(ISNUMBER(MATCH('Job Planning'!$J94,{"To Be Signed","Started","Awaiting RFI","Outstanding","RFI Scheduled"},0)),"Stage 3",""),
IF(ISNUMBER(MATCH('Job Planning'!$K94,{"To Be Signed","Started","Awaiting RFI","Outstanding","RFI Scheduled"},0)),"Stage 4",""))</f>
        <v/>
      </c>
      <c r="M94" s="7">
        <f>4-COUNTIF('Job Planning'!$H94:$K94,"N/A")-_xlfn.LET(_xlpm.pending,LEN('Job Planning'!$L94)-LEN(SUBSTITUTE('Job Planning'!$L94,",",""))+1,IF('Job Planning'!$L94="",0,_xlpm.pending))</f>
        <v>4</v>
      </c>
      <c r="N94" s="7">
        <f>_xlfn.LET(_xlpm.pending,LEN('Job Planning'!$L94)-LEN(SUBSTITUTE('Job Planning'!$L94,",",""))+1,IF('Job Planning'!$L94="",0,_xlpm.pending))</f>
        <v>0</v>
      </c>
      <c r="O94" s="7">
        <f>SUM('Job Planning'!$P94:$Q94)</f>
        <v>0</v>
      </c>
      <c r="P94" s="7">
        <f>COUNTIFS('Defect List'!C:C,'Job Planning'!G94,'Defect List'!B:B,"Outstanding",'Defect List'!G:G,"Major")</f>
        <v>0</v>
      </c>
      <c r="Q94" s="7">
        <f>COUNTIFS('Defect List'!C:C,'Job Planning'!G94,'Defect List'!B:B,"Outstanding",'Defect List'!G:G,"Minor")</f>
        <v>0</v>
      </c>
      <c r="R94" s="8" t="str" cm="1">
        <f t="array" ref="R94">_xlfn.TEXTJOIN("
",TRUE,_xlfn._xlws.FILTER('Outstanding Defect (PQ)'!G:G,'Outstanding Defect (PQ)'!B:B='Job Planning'!G94,""))</f>
        <v/>
      </c>
      <c r="S94" s="3"/>
      <c r="T94" s="30" t="str">
        <f>_xlfn.TEXTAFTER(G94,"-",-2)</f>
        <v>QA-8602</v>
      </c>
      <c r="U94" s="1" t="str">
        <f>IF(_xlfn.XLOOKUP('Job Planning'!$G94,Search!B:B,Search!C:C,"",0)="","",_xlfn.XLOOKUP('Job Planning'!$G94,Search!B:B,Search!C:C,"",0))</f>
        <v/>
      </c>
      <c r="V94" s="1" t="str">
        <f>_xlfn.XLOOKUP('Job Planning'!$T94,Search!A:A,Search!C:C,"",0)</f>
        <v/>
      </c>
      <c r="W94" s="1" t="str">
        <f>_xlfn.XLOOKUP('Job Planning'!$B94,Search!B:B,Search!C:C,"",0)</f>
        <v/>
      </c>
    </row>
    <row r="95" spans="1:23" ht="14.4">
      <c r="A95" s="7" t="s">
        <v>13</v>
      </c>
      <c r="B95" s="7" t="s">
        <v>119</v>
      </c>
      <c r="C95" s="7" t="s">
        <v>8</v>
      </c>
      <c r="D95" s="6" t="str">
        <f>IF(AND('Job Planning'!$L95="",'Job Planning'!$O95=0)=TRUE,"Can Close","Can't")</f>
        <v>Can Close</v>
      </c>
      <c r="E95" s="6" t="str">
        <f>_xlfn.TEXTJOIN(", ",TRUE,IF(N95=0,"","Inspection"),IF('Job Planning'!$O95=0,"","Defect"))</f>
        <v/>
      </c>
      <c r="F95" s="21"/>
      <c r="G95" s="8" t="s">
        <v>378</v>
      </c>
      <c r="H95" s="7" t="s">
        <v>8</v>
      </c>
      <c r="I95" s="7" t="s">
        <v>8</v>
      </c>
      <c r="J95" s="7" t="s">
        <v>8</v>
      </c>
      <c r="K95" s="7" t="s">
        <v>8</v>
      </c>
      <c r="L95" s="19" t="str">
        <f>_xlfn.TEXTJOIN(", ",TRUE,
IF(ISNUMBER(MATCH('Job Planning'!$H95,{"To Be Signed","Started","Awaiting RFI","Outstanding","RFI Scheduled"},0)),"Stage 1",""),
IF(ISNUMBER(MATCH('Job Planning'!$I95,{"To Be Signed","Started","Awaiting RFI","Outstanding","RFI Scheduled"},0)),"Stage 2",""),
IF(ISNUMBER(MATCH('Job Planning'!$J95,{"To Be Signed","Started","Awaiting RFI","Outstanding","RFI Scheduled"},0)),"Stage 3",""),
IF(ISNUMBER(MATCH('Job Planning'!$K95,{"To Be Signed","Started","Awaiting RFI","Outstanding","RFI Scheduled"},0)),"Stage 4",""))</f>
        <v/>
      </c>
      <c r="M95" s="7">
        <f>4-COUNTIF('Job Planning'!$H95:$K95,"N/A")-_xlfn.LET(_xlpm.pending,LEN('Job Planning'!$L95)-LEN(SUBSTITUTE('Job Planning'!$L95,",",""))+1,IF('Job Planning'!$L95="",0,_xlpm.pending))</f>
        <v>4</v>
      </c>
      <c r="N95" s="7">
        <f>_xlfn.LET(_xlpm.pending,LEN('Job Planning'!$L95)-LEN(SUBSTITUTE('Job Planning'!$L95,",",""))+1,IF('Job Planning'!$L95="",0,_xlpm.pending))</f>
        <v>0</v>
      </c>
      <c r="O95" s="7">
        <f>SUM('Job Planning'!$P95:$Q95)</f>
        <v>0</v>
      </c>
      <c r="P95" s="7">
        <f>COUNTIFS('Defect List'!C:C,'Job Planning'!G95,'Defect List'!B:B,"Outstanding",'Defect List'!G:G,"Major")</f>
        <v>0</v>
      </c>
      <c r="Q95" s="7">
        <f>COUNTIFS('Defect List'!C:C,'Job Planning'!G95,'Defect List'!B:B,"Outstanding",'Defect List'!G:G,"Minor")</f>
        <v>0</v>
      </c>
      <c r="R95" s="8" t="str" cm="1">
        <f t="array" ref="R95">_xlfn.TEXTJOIN("
",TRUE,_xlfn._xlws.FILTER('Outstanding Defect (PQ)'!G:G,'Outstanding Defect (PQ)'!B:B='Job Planning'!G95,""))</f>
        <v/>
      </c>
      <c r="S95" s="3"/>
      <c r="T95" s="30" t="str">
        <f>_xlfn.TEXTAFTER(G95,"-",-2)</f>
        <v>QA-8601</v>
      </c>
      <c r="U95" s="1" t="str">
        <f>IF(_xlfn.XLOOKUP('Job Planning'!$G95,Search!B:B,Search!C:C,"",0)="","",_xlfn.XLOOKUP('Job Planning'!$G95,Search!B:B,Search!C:C,"",0))</f>
        <v/>
      </c>
      <c r="V95" s="1" t="str">
        <f>_xlfn.XLOOKUP('Job Planning'!$T95,Search!A:A,Search!C:C,"",0)</f>
        <v/>
      </c>
      <c r="W95" s="1" t="str">
        <f>_xlfn.XLOOKUP('Job Planning'!$B95,Search!B:B,Search!C:C,"",0)</f>
        <v/>
      </c>
    </row>
    <row r="96" spans="1:23" ht="14.4">
      <c r="A96" s="7" t="s">
        <v>13</v>
      </c>
      <c r="B96" s="7" t="s">
        <v>120</v>
      </c>
      <c r="C96" s="7" t="s">
        <v>8</v>
      </c>
      <c r="D96" s="6" t="str">
        <f>IF(AND('Job Planning'!$L96="",'Job Planning'!$O96=0)=TRUE,"Can Close","Can't")</f>
        <v>Can Close</v>
      </c>
      <c r="E96" s="6" t="str">
        <f>_xlfn.TEXTJOIN(", ",TRUE,IF(N96=0,"","Inspection"),IF('Job Planning'!$O96=0,"","Defect"))</f>
        <v/>
      </c>
      <c r="F96" s="21"/>
      <c r="G96" s="8" t="s">
        <v>379</v>
      </c>
      <c r="H96" s="7" t="s">
        <v>8</v>
      </c>
      <c r="I96" s="7" t="s">
        <v>8</v>
      </c>
      <c r="J96" s="7" t="s">
        <v>8</v>
      </c>
      <c r="K96" s="7" t="s">
        <v>8</v>
      </c>
      <c r="L96" s="19" t="str">
        <f>_xlfn.TEXTJOIN(", ",TRUE,
IF(ISNUMBER(MATCH('Job Planning'!$H96,{"To Be Signed","Started","Awaiting RFI","Outstanding","RFI Scheduled"},0)),"Stage 1",""),
IF(ISNUMBER(MATCH('Job Planning'!$I96,{"To Be Signed","Started","Awaiting RFI","Outstanding","RFI Scheduled"},0)),"Stage 2",""),
IF(ISNUMBER(MATCH('Job Planning'!$J96,{"To Be Signed","Started","Awaiting RFI","Outstanding","RFI Scheduled"},0)),"Stage 3",""),
IF(ISNUMBER(MATCH('Job Planning'!$K96,{"To Be Signed","Started","Awaiting RFI","Outstanding","RFI Scheduled"},0)),"Stage 4",""))</f>
        <v/>
      </c>
      <c r="M96" s="7">
        <f>4-COUNTIF('Job Planning'!$H96:$K96,"N/A")-_xlfn.LET(_xlpm.pending,LEN('Job Planning'!$L96)-LEN(SUBSTITUTE('Job Planning'!$L96,",",""))+1,IF('Job Planning'!$L96="",0,_xlpm.pending))</f>
        <v>4</v>
      </c>
      <c r="N96" s="7">
        <f>_xlfn.LET(_xlpm.pending,LEN('Job Planning'!$L96)-LEN(SUBSTITUTE('Job Planning'!$L96,",",""))+1,IF('Job Planning'!$L96="",0,_xlpm.pending))</f>
        <v>0</v>
      </c>
      <c r="O96" s="7">
        <f>SUM('Job Planning'!$P96:$Q96)</f>
        <v>0</v>
      </c>
      <c r="P96" s="7">
        <f>COUNTIFS('Defect List'!C:C,'Job Planning'!G96,'Defect List'!B:B,"Outstanding",'Defect List'!G:G,"Major")</f>
        <v>0</v>
      </c>
      <c r="Q96" s="7">
        <f>COUNTIFS('Defect List'!C:C,'Job Planning'!G96,'Defect List'!B:B,"Outstanding",'Defect List'!G:G,"Minor")</f>
        <v>0</v>
      </c>
      <c r="R96" s="8" t="str" cm="1">
        <f t="array" ref="R96">_xlfn.TEXTJOIN("
",TRUE,_xlfn._xlws.FILTER('Outstanding Defect (PQ)'!G:G,'Outstanding Defect (PQ)'!B:B='Job Planning'!G96,""))</f>
        <v/>
      </c>
      <c r="S96" s="3"/>
      <c r="T96" s="30" t="str">
        <f>_xlfn.TEXTAFTER(G96,"-",-2)</f>
        <v>GEN-8258</v>
      </c>
      <c r="U96" s="1" t="str">
        <f>IF(_xlfn.XLOOKUP('Job Planning'!$G96,Search!B:B,Search!C:C,"",0)="","",_xlfn.XLOOKUP('Job Planning'!$G96,Search!B:B,Search!C:C,"",0))</f>
        <v/>
      </c>
      <c r="V96" s="1" t="str">
        <f>_xlfn.XLOOKUP('Job Planning'!$T96,Search!A:A,Search!C:C,"",0)</f>
        <v/>
      </c>
      <c r="W96" s="1" t="str">
        <f>_xlfn.XLOOKUP('Job Planning'!$B96,Search!B:B,Search!C:C,"",0)</f>
        <v/>
      </c>
    </row>
    <row r="97" spans="1:23" ht="14.4">
      <c r="A97" s="7" t="s">
        <v>13</v>
      </c>
      <c r="B97" s="7" t="s">
        <v>121</v>
      </c>
      <c r="C97" s="7" t="s">
        <v>8</v>
      </c>
      <c r="D97" s="6" t="str">
        <f>IF(AND('Job Planning'!$L97="",'Job Planning'!$O97=0)=TRUE,"Can Close","Can't")</f>
        <v>Can Close</v>
      </c>
      <c r="E97" s="6" t="str">
        <f>_xlfn.TEXTJOIN(", ",TRUE,IF(N97=0,"","Inspection"),IF('Job Planning'!$O97=0,"","Defect"))</f>
        <v/>
      </c>
      <c r="F97" s="21"/>
      <c r="G97" s="8" t="s">
        <v>380</v>
      </c>
      <c r="H97" s="7" t="s">
        <v>8</v>
      </c>
      <c r="I97" s="7" t="s">
        <v>8</v>
      </c>
      <c r="J97" s="7" t="s">
        <v>8</v>
      </c>
      <c r="K97" s="7" t="s">
        <v>8</v>
      </c>
      <c r="L97" s="19" t="str">
        <f>_xlfn.TEXTJOIN(", ",TRUE,
IF(ISNUMBER(MATCH('Job Planning'!$H97,{"To Be Signed","Started","Awaiting RFI","Outstanding","RFI Scheduled"},0)),"Stage 1",""),
IF(ISNUMBER(MATCH('Job Planning'!$I97,{"To Be Signed","Started","Awaiting RFI","Outstanding","RFI Scheduled"},0)),"Stage 2",""),
IF(ISNUMBER(MATCH('Job Planning'!$J97,{"To Be Signed","Started","Awaiting RFI","Outstanding","RFI Scheduled"},0)),"Stage 3",""),
IF(ISNUMBER(MATCH('Job Planning'!$K97,{"To Be Signed","Started","Awaiting RFI","Outstanding","RFI Scheduled"},0)),"Stage 4",""))</f>
        <v/>
      </c>
      <c r="M97" s="7">
        <f>4-COUNTIF('Job Planning'!$H97:$K97,"N/A")-_xlfn.LET(_xlpm.pending,LEN('Job Planning'!$L97)-LEN(SUBSTITUTE('Job Planning'!$L97,",",""))+1,IF('Job Planning'!$L97="",0,_xlpm.pending))</f>
        <v>4</v>
      </c>
      <c r="N97" s="7">
        <f>_xlfn.LET(_xlpm.pending,LEN('Job Planning'!$L97)-LEN(SUBSTITUTE('Job Planning'!$L97,",",""))+1,IF('Job Planning'!$L97="",0,_xlpm.pending))</f>
        <v>0</v>
      </c>
      <c r="O97" s="7">
        <f>SUM('Job Planning'!$P97:$Q97)</f>
        <v>0</v>
      </c>
      <c r="P97" s="7">
        <f>COUNTIFS('Defect List'!C:C,'Job Planning'!G97,'Defect List'!B:B,"Outstanding",'Defect List'!G:G,"Major")</f>
        <v>0</v>
      </c>
      <c r="Q97" s="7">
        <f>COUNTIFS('Defect List'!C:C,'Job Planning'!G97,'Defect List'!B:B,"Outstanding",'Defect List'!G:G,"Minor")</f>
        <v>0</v>
      </c>
      <c r="R97" s="8" t="str" cm="1">
        <f t="array" ref="R97">_xlfn.TEXTJOIN("
",TRUE,_xlfn._xlws.FILTER('Outstanding Defect (PQ)'!G:G,'Outstanding Defect (PQ)'!B:B='Job Planning'!G97,""))</f>
        <v/>
      </c>
      <c r="S97" s="3"/>
      <c r="T97" s="30" t="str">
        <f>_xlfn.TEXTAFTER(G97,"-",-2)</f>
        <v>MECH-8293</v>
      </c>
      <c r="U97" s="1" t="str">
        <f>IF(_xlfn.XLOOKUP('Job Planning'!$G97,Search!B:B,Search!C:C,"",0)="","",_xlfn.XLOOKUP('Job Planning'!$G97,Search!B:B,Search!C:C,"",0))</f>
        <v/>
      </c>
      <c r="V97" s="1" t="str">
        <f>_xlfn.XLOOKUP('Job Planning'!$T97,Search!A:A,Search!C:C,"",0)</f>
        <v/>
      </c>
      <c r="W97" s="1" t="str">
        <f>_xlfn.XLOOKUP('Job Planning'!$B97,Search!B:B,Search!C:C,"",0)</f>
        <v/>
      </c>
    </row>
    <row r="98" spans="1:23" ht="14.4">
      <c r="A98" s="7" t="s">
        <v>13</v>
      </c>
      <c r="B98" s="7" t="s">
        <v>122</v>
      </c>
      <c r="C98" s="7" t="s">
        <v>8</v>
      </c>
      <c r="D98" s="6" t="str">
        <f>IF(AND('Job Planning'!$L98="",'Job Planning'!$O98=0)=TRUE,"Can Close","Can't")</f>
        <v>Can Close</v>
      </c>
      <c r="E98" s="6" t="str">
        <f>_xlfn.TEXTJOIN(", ",TRUE,IF(N98=0,"","Inspection"),IF('Job Planning'!$O98=0,"","Defect"))</f>
        <v/>
      </c>
      <c r="F98" s="21"/>
      <c r="G98" s="8" t="s">
        <v>381</v>
      </c>
      <c r="H98" s="7" t="s">
        <v>8</v>
      </c>
      <c r="I98" s="7" t="s">
        <v>8</v>
      </c>
      <c r="J98" s="7" t="s">
        <v>8</v>
      </c>
      <c r="K98" s="7" t="s">
        <v>8</v>
      </c>
      <c r="L98" s="19" t="str">
        <f>_xlfn.TEXTJOIN(", ",TRUE,
IF(ISNUMBER(MATCH('Job Planning'!$H98,{"To Be Signed","Started","Awaiting RFI","Outstanding","RFI Scheduled"},0)),"Stage 1",""),
IF(ISNUMBER(MATCH('Job Planning'!$I98,{"To Be Signed","Started","Awaiting RFI","Outstanding","RFI Scheduled"},0)),"Stage 2",""),
IF(ISNUMBER(MATCH('Job Planning'!$J98,{"To Be Signed","Started","Awaiting RFI","Outstanding","RFI Scheduled"},0)),"Stage 3",""),
IF(ISNUMBER(MATCH('Job Planning'!$K98,{"To Be Signed","Started","Awaiting RFI","Outstanding","RFI Scheduled"},0)),"Stage 4",""))</f>
        <v/>
      </c>
      <c r="M98" s="7">
        <f>4-COUNTIF('Job Planning'!$H98:$K98,"N/A")-_xlfn.LET(_xlpm.pending,LEN('Job Planning'!$L98)-LEN(SUBSTITUTE('Job Planning'!$L98,",",""))+1,IF('Job Planning'!$L98="",0,_xlpm.pending))</f>
        <v>4</v>
      </c>
      <c r="N98" s="7">
        <f>_xlfn.LET(_xlpm.pending,LEN('Job Planning'!$L98)-LEN(SUBSTITUTE('Job Planning'!$L98,",",""))+1,IF('Job Planning'!$L98="",0,_xlpm.pending))</f>
        <v>0</v>
      </c>
      <c r="O98" s="7">
        <f>SUM('Job Planning'!$P98:$Q98)</f>
        <v>0</v>
      </c>
      <c r="P98" s="7">
        <f>COUNTIFS('Defect List'!C:C,'Job Planning'!G98,'Defect List'!B:B,"Outstanding",'Defect List'!G:G,"Major")</f>
        <v>0</v>
      </c>
      <c r="Q98" s="7">
        <f>COUNTIFS('Defect List'!C:C,'Job Planning'!G98,'Defect List'!B:B,"Outstanding",'Defect List'!G:G,"Minor")</f>
        <v>0</v>
      </c>
      <c r="R98" s="8" t="str" cm="1">
        <f t="array" ref="R98">_xlfn.TEXTJOIN("
",TRUE,_xlfn._xlws.FILTER('Outstanding Defect (PQ)'!G:G,'Outstanding Defect (PQ)'!B:B='Job Planning'!G98,""))</f>
        <v/>
      </c>
      <c r="S98" s="3"/>
      <c r="T98" s="30" t="str">
        <f>_xlfn.TEXTAFTER(G98,"-",-2)</f>
        <v>SAF-8321</v>
      </c>
      <c r="U98" s="1" t="str">
        <f>IF(_xlfn.XLOOKUP('Job Planning'!$G98,Search!B:B,Search!C:C,"",0)="","",_xlfn.XLOOKUP('Job Planning'!$G98,Search!B:B,Search!C:C,"",0))</f>
        <v/>
      </c>
      <c r="V98" s="1" t="str">
        <f>_xlfn.XLOOKUP('Job Planning'!$T98,Search!A:A,Search!C:C,"",0)</f>
        <v/>
      </c>
      <c r="W98" s="1" t="str">
        <f>_xlfn.XLOOKUP('Job Planning'!$B98,Search!B:B,Search!C:C,"",0)</f>
        <v/>
      </c>
    </row>
    <row r="99" spans="1:23" ht="14.4">
      <c r="A99" s="7" t="s">
        <v>13</v>
      </c>
      <c r="B99" s="7" t="s">
        <v>123</v>
      </c>
      <c r="C99" s="7" t="s">
        <v>8</v>
      </c>
      <c r="D99" s="6" t="str">
        <f>IF(AND('Job Planning'!$L99="",'Job Planning'!$O99=0)=TRUE,"Can Close","Can't")</f>
        <v>Can Close</v>
      </c>
      <c r="E99" s="6" t="str">
        <f>_xlfn.TEXTJOIN(", ",TRUE,IF(N99=0,"","Inspection"),IF('Job Planning'!$O99=0,"","Defect"))</f>
        <v/>
      </c>
      <c r="F99" s="21"/>
      <c r="G99" s="8" t="s">
        <v>382</v>
      </c>
      <c r="H99" s="7" t="s">
        <v>8</v>
      </c>
      <c r="I99" s="7" t="s">
        <v>8</v>
      </c>
      <c r="J99" s="7" t="s">
        <v>8</v>
      </c>
      <c r="K99" s="7" t="s">
        <v>8</v>
      </c>
      <c r="L99" s="19" t="str">
        <f>_xlfn.TEXTJOIN(", ",TRUE,
IF(ISNUMBER(MATCH('Job Planning'!$H99,{"To Be Signed","Started","Awaiting RFI","Outstanding","RFI Scheduled"},0)),"Stage 1",""),
IF(ISNUMBER(MATCH('Job Planning'!$I99,{"To Be Signed","Started","Awaiting RFI","Outstanding","RFI Scheduled"},0)),"Stage 2",""),
IF(ISNUMBER(MATCH('Job Planning'!$J99,{"To Be Signed","Started","Awaiting RFI","Outstanding","RFI Scheduled"},0)),"Stage 3",""),
IF(ISNUMBER(MATCH('Job Planning'!$K99,{"To Be Signed","Started","Awaiting RFI","Outstanding","RFI Scheduled"},0)),"Stage 4",""))</f>
        <v/>
      </c>
      <c r="M99" s="7">
        <f>4-COUNTIF('Job Planning'!$H99:$K99,"N/A")-_xlfn.LET(_xlpm.pending,LEN('Job Planning'!$L99)-LEN(SUBSTITUTE('Job Planning'!$L99,",",""))+1,IF('Job Planning'!$L99="",0,_xlpm.pending))</f>
        <v>4</v>
      </c>
      <c r="N99" s="7">
        <f>_xlfn.LET(_xlpm.pending,LEN('Job Planning'!$L99)-LEN(SUBSTITUTE('Job Planning'!$L99,",",""))+1,IF('Job Planning'!$L99="",0,_xlpm.pending))</f>
        <v>0</v>
      </c>
      <c r="O99" s="7">
        <f>SUM('Job Planning'!$P99:$Q99)</f>
        <v>0</v>
      </c>
      <c r="P99" s="7">
        <f>COUNTIFS('Defect List'!C:C,'Job Planning'!G99,'Defect List'!B:B,"Outstanding",'Defect List'!G:G,"Major")</f>
        <v>0</v>
      </c>
      <c r="Q99" s="7">
        <f>COUNTIFS('Defect List'!C:C,'Job Planning'!G99,'Defect List'!B:B,"Outstanding",'Defect List'!G:G,"Minor")</f>
        <v>0</v>
      </c>
      <c r="R99" s="8" t="str" cm="1">
        <f t="array" ref="R99">_xlfn.TEXTJOIN("
",TRUE,_xlfn._xlws.FILTER('Outstanding Defect (PQ)'!G:G,'Outstanding Defect (PQ)'!B:B='Job Planning'!G99,""))</f>
        <v/>
      </c>
      <c r="S99" s="3"/>
      <c r="T99" s="30" t="str">
        <f>_xlfn.TEXTAFTER(G99,"-",-2)</f>
        <v>INS-8339</v>
      </c>
      <c r="U99" s="1" t="str">
        <f>IF(_xlfn.XLOOKUP('Job Planning'!$G99,Search!B:B,Search!C:C,"",0)="","",_xlfn.XLOOKUP('Job Planning'!$G99,Search!B:B,Search!C:C,"",0))</f>
        <v/>
      </c>
      <c r="V99" s="1" t="str">
        <f>_xlfn.XLOOKUP('Job Planning'!$T99,Search!A:A,Search!C:C,"",0)</f>
        <v/>
      </c>
      <c r="W99" s="1" t="str">
        <f>_xlfn.XLOOKUP('Job Planning'!$B99,Search!B:B,Search!C:C,"",0)</f>
        <v/>
      </c>
    </row>
    <row r="100" spans="1:23" ht="14.4">
      <c r="A100" s="7" t="s">
        <v>13</v>
      </c>
      <c r="B100" s="7" t="s">
        <v>124</v>
      </c>
      <c r="C100" s="7" t="s">
        <v>8</v>
      </c>
      <c r="D100" s="6" t="str">
        <f>IF(AND('Job Planning'!$L100="",'Job Planning'!$O100=0)=TRUE,"Can Close","Can't")</f>
        <v>Can Close</v>
      </c>
      <c r="E100" s="6" t="str">
        <f>_xlfn.TEXTJOIN(", ",TRUE,IF(N100=0,"","Inspection"),IF('Job Planning'!$O100=0,"","Defect"))</f>
        <v/>
      </c>
      <c r="F100" s="21"/>
      <c r="G100" s="8" t="s">
        <v>383</v>
      </c>
      <c r="H100" s="7" t="s">
        <v>8</v>
      </c>
      <c r="I100" s="7" t="s">
        <v>8</v>
      </c>
      <c r="J100" s="7" t="s">
        <v>8</v>
      </c>
      <c r="K100" s="7" t="s">
        <v>8</v>
      </c>
      <c r="L100" s="19" t="str">
        <f>_xlfn.TEXTJOIN(", ",TRUE,
IF(ISNUMBER(MATCH('Job Planning'!$H100,{"To Be Signed","Started","Awaiting RFI","Outstanding","RFI Scheduled"},0)),"Stage 1",""),
IF(ISNUMBER(MATCH('Job Planning'!$I100,{"To Be Signed","Started","Awaiting RFI","Outstanding","RFI Scheduled"},0)),"Stage 2",""),
IF(ISNUMBER(MATCH('Job Planning'!$J100,{"To Be Signed","Started","Awaiting RFI","Outstanding","RFI Scheduled"},0)),"Stage 3",""),
IF(ISNUMBER(MATCH('Job Planning'!$K100,{"To Be Signed","Started","Awaiting RFI","Outstanding","RFI Scheduled"},0)),"Stage 4",""))</f>
        <v/>
      </c>
      <c r="M100" s="7">
        <f>4-COUNTIF('Job Planning'!$H100:$K100,"N/A")-_xlfn.LET(_xlpm.pending,LEN('Job Planning'!$L100)-LEN(SUBSTITUTE('Job Planning'!$L100,",",""))+1,IF('Job Planning'!$L100="",0,_xlpm.pending))</f>
        <v>4</v>
      </c>
      <c r="N100" s="7">
        <f>_xlfn.LET(_xlpm.pending,LEN('Job Planning'!$L100)-LEN(SUBSTITUTE('Job Planning'!$L100,",",""))+1,IF('Job Planning'!$L100="",0,_xlpm.pending))</f>
        <v>0</v>
      </c>
      <c r="O100" s="7">
        <f>SUM('Job Planning'!$P100:$Q100)</f>
        <v>0</v>
      </c>
      <c r="P100" s="7">
        <f>COUNTIFS('Defect List'!C:C,'Job Planning'!G100,'Defect List'!B:B,"Outstanding",'Defect List'!G:G,"Major")</f>
        <v>0</v>
      </c>
      <c r="Q100" s="7">
        <f>COUNTIFS('Defect List'!C:C,'Job Planning'!G100,'Defect List'!B:B,"Outstanding",'Defect List'!G:G,"Minor")</f>
        <v>0</v>
      </c>
      <c r="R100" s="8" t="str" cm="1">
        <f t="array" ref="R100">_xlfn.TEXTJOIN("
",TRUE,_xlfn._xlws.FILTER('Outstanding Defect (PQ)'!G:G,'Outstanding Defect (PQ)'!B:B='Job Planning'!G100,""))</f>
        <v/>
      </c>
      <c r="S100" s="3"/>
      <c r="T100" s="30" t="str">
        <f>_xlfn.TEXTAFTER(G100,"-",-2)</f>
        <v>DRN-8291</v>
      </c>
      <c r="U100" s="1" t="str">
        <f>IF(_xlfn.XLOOKUP('Job Planning'!$G100,Search!B:B,Search!C:C,"",0)="","",_xlfn.XLOOKUP('Job Planning'!$G100,Search!B:B,Search!C:C,"",0))</f>
        <v/>
      </c>
      <c r="V100" s="1" t="str">
        <f>_xlfn.XLOOKUP('Job Planning'!$T100,Search!A:A,Search!C:C,"",0)</f>
        <v/>
      </c>
      <c r="W100" s="1" t="str">
        <f>_xlfn.XLOOKUP('Job Planning'!$B100,Search!B:B,Search!C:C,"",0)</f>
        <v/>
      </c>
    </row>
    <row r="101" spans="1:23" ht="14.4">
      <c r="A101" s="7" t="s">
        <v>13</v>
      </c>
      <c r="B101" s="7" t="s">
        <v>125</v>
      </c>
      <c r="C101" s="7" t="s">
        <v>8</v>
      </c>
      <c r="D101" s="6" t="str">
        <f>IF(AND('Job Planning'!$L101="",'Job Planning'!$O101=0)=TRUE,"Can Close","Can't")</f>
        <v>Can Close</v>
      </c>
      <c r="E101" s="6" t="str">
        <f>_xlfn.TEXTJOIN(", ",TRUE,IF(N101=0,"","Inspection"),IF('Job Planning'!$O101=0,"","Defect"))</f>
        <v/>
      </c>
      <c r="F101" s="21"/>
      <c r="G101" s="8" t="s">
        <v>384</v>
      </c>
      <c r="H101" s="7" t="s">
        <v>8</v>
      </c>
      <c r="I101" s="7" t="s">
        <v>8</v>
      </c>
      <c r="J101" s="7" t="s">
        <v>8</v>
      </c>
      <c r="K101" s="7" t="s">
        <v>8</v>
      </c>
      <c r="L101" s="19" t="str">
        <f>_xlfn.TEXTJOIN(", ",TRUE,
IF(ISNUMBER(MATCH('Job Planning'!$H101,{"To Be Signed","Started","Awaiting RFI","Outstanding","RFI Scheduled"},0)),"Stage 1",""),
IF(ISNUMBER(MATCH('Job Planning'!$I101,{"To Be Signed","Started","Awaiting RFI","Outstanding","RFI Scheduled"},0)),"Stage 2",""),
IF(ISNUMBER(MATCH('Job Planning'!$J101,{"To Be Signed","Started","Awaiting RFI","Outstanding","RFI Scheduled"},0)),"Stage 3",""),
IF(ISNUMBER(MATCH('Job Planning'!$K101,{"To Be Signed","Started","Awaiting RFI","Outstanding","RFI Scheduled"},0)),"Stage 4",""))</f>
        <v/>
      </c>
      <c r="M101" s="7">
        <f>4-COUNTIF('Job Planning'!$H101:$K101,"N/A")-_xlfn.LET(_xlpm.pending,LEN('Job Planning'!$L101)-LEN(SUBSTITUTE('Job Planning'!$L101,",",""))+1,IF('Job Planning'!$L101="",0,_xlpm.pending))</f>
        <v>4</v>
      </c>
      <c r="N101" s="7">
        <f>_xlfn.LET(_xlpm.pending,LEN('Job Planning'!$L101)-LEN(SUBSTITUTE('Job Planning'!$L101,",",""))+1,IF('Job Planning'!$L101="",0,_xlpm.pending))</f>
        <v>0</v>
      </c>
      <c r="O101" s="7">
        <f>SUM('Job Planning'!$P101:$Q101)</f>
        <v>0</v>
      </c>
      <c r="P101" s="7">
        <f>COUNTIFS('Defect List'!C:C,'Job Planning'!G101,'Defect List'!B:B,"Outstanding",'Defect List'!G:G,"Major")</f>
        <v>0</v>
      </c>
      <c r="Q101" s="7">
        <f>COUNTIFS('Defect List'!C:C,'Job Planning'!G101,'Defect List'!B:B,"Outstanding",'Defect List'!G:G,"Minor")</f>
        <v>0</v>
      </c>
      <c r="R101" s="8" t="str" cm="1">
        <f t="array" ref="R101">_xlfn.TEXTJOIN("
",TRUE,_xlfn._xlws.FILTER('Outstanding Defect (PQ)'!G:G,'Outstanding Defect (PQ)'!B:B='Job Planning'!G101,""))</f>
        <v/>
      </c>
      <c r="S101" s="3"/>
      <c r="T101" s="30" t="str">
        <f>_xlfn.TEXTAFTER(G101,"-",-2)</f>
        <v>DRN-8290</v>
      </c>
      <c r="U101" s="1" t="str">
        <f>IF(_xlfn.XLOOKUP('Job Planning'!$G101,Search!B:B,Search!C:C,"",0)="","",_xlfn.XLOOKUP('Job Planning'!$G101,Search!B:B,Search!C:C,"",0))</f>
        <v/>
      </c>
      <c r="V101" s="1" t="str">
        <f>_xlfn.XLOOKUP('Job Planning'!$T101,Search!A:A,Search!C:C,"",0)</f>
        <v/>
      </c>
      <c r="W101" s="1" t="str">
        <f>_xlfn.XLOOKUP('Job Planning'!$B101,Search!B:B,Search!C:C,"",0)</f>
        <v/>
      </c>
    </row>
    <row r="102" spans="1:23" ht="14.4">
      <c r="A102" s="7" t="s">
        <v>13</v>
      </c>
      <c r="B102" s="7" t="s">
        <v>126</v>
      </c>
      <c r="C102" s="7" t="s">
        <v>8</v>
      </c>
      <c r="D102" s="6" t="str">
        <f>IF(AND('Job Planning'!$L102="",'Job Planning'!$O102=0)=TRUE,"Can Close","Can't")</f>
        <v>Can Close</v>
      </c>
      <c r="E102" s="6" t="str">
        <f>_xlfn.TEXTJOIN(", ",TRUE,IF(N102=0,"","Inspection"),IF('Job Planning'!$O102=0,"","Defect"))</f>
        <v/>
      </c>
      <c r="F102" s="21"/>
      <c r="G102" s="8" t="s">
        <v>385</v>
      </c>
      <c r="H102" s="7" t="s">
        <v>8</v>
      </c>
      <c r="I102" s="7" t="s">
        <v>8</v>
      </c>
      <c r="J102" s="7" t="s">
        <v>8</v>
      </c>
      <c r="K102" s="7" t="s">
        <v>8</v>
      </c>
      <c r="L102" s="19" t="str">
        <f>_xlfn.TEXTJOIN(", ",TRUE,
IF(ISNUMBER(MATCH('Job Planning'!$H102,{"To Be Signed","Started","Awaiting RFI","Outstanding","RFI Scheduled"},0)),"Stage 1",""),
IF(ISNUMBER(MATCH('Job Planning'!$I102,{"To Be Signed","Started","Awaiting RFI","Outstanding","RFI Scheduled"},0)),"Stage 2",""),
IF(ISNUMBER(MATCH('Job Planning'!$J102,{"To Be Signed","Started","Awaiting RFI","Outstanding","RFI Scheduled"},0)),"Stage 3",""),
IF(ISNUMBER(MATCH('Job Planning'!$K102,{"To Be Signed","Started","Awaiting RFI","Outstanding","RFI Scheduled"},0)),"Stage 4",""))</f>
        <v/>
      </c>
      <c r="M102" s="7">
        <f>4-COUNTIF('Job Planning'!$H102:$K102,"N/A")-_xlfn.LET(_xlpm.pending,LEN('Job Planning'!$L102)-LEN(SUBSTITUTE('Job Planning'!$L102,",",""))+1,IF('Job Planning'!$L102="",0,_xlpm.pending))</f>
        <v>4</v>
      </c>
      <c r="N102" s="7">
        <f>_xlfn.LET(_xlpm.pending,LEN('Job Planning'!$L102)-LEN(SUBSTITUTE('Job Planning'!$L102,",",""))+1,IF('Job Planning'!$L102="",0,_xlpm.pending))</f>
        <v>0</v>
      </c>
      <c r="O102" s="7">
        <f>SUM('Job Planning'!$P102:$Q102)</f>
        <v>0</v>
      </c>
      <c r="P102" s="7">
        <f>COUNTIFS('Defect List'!C:C,'Job Planning'!G102,'Defect List'!B:B,"Outstanding",'Defect List'!G:G,"Major")</f>
        <v>0</v>
      </c>
      <c r="Q102" s="7">
        <f>COUNTIFS('Defect List'!C:C,'Job Planning'!G102,'Defect List'!B:B,"Outstanding",'Defect List'!G:G,"Minor")</f>
        <v>0</v>
      </c>
      <c r="R102" s="8" t="str" cm="1">
        <f t="array" ref="R102">_xlfn.TEXTJOIN("
",TRUE,_xlfn._xlws.FILTER('Outstanding Defect (PQ)'!G:G,'Outstanding Defect (PQ)'!B:B='Job Planning'!G102,""))</f>
        <v/>
      </c>
      <c r="S102" s="3"/>
      <c r="T102" s="30" t="str">
        <f>_xlfn.TEXTAFTER(G102,"-",-2)</f>
        <v>DRN-8289</v>
      </c>
      <c r="U102" s="1" t="str">
        <f>IF(_xlfn.XLOOKUP('Job Planning'!$G102,Search!B:B,Search!C:C,"",0)="","",_xlfn.XLOOKUP('Job Planning'!$G102,Search!B:B,Search!C:C,"",0))</f>
        <v/>
      </c>
      <c r="V102" s="1" t="str">
        <f>_xlfn.XLOOKUP('Job Planning'!$T102,Search!A:A,Search!C:C,"",0)</f>
        <v/>
      </c>
      <c r="W102" s="1" t="str">
        <f>_xlfn.XLOOKUP('Job Planning'!$B102,Search!B:B,Search!C:C,"",0)</f>
        <v/>
      </c>
    </row>
    <row r="103" spans="1:23" ht="14.4">
      <c r="A103" s="7" t="s">
        <v>13</v>
      </c>
      <c r="B103" s="7" t="s">
        <v>127</v>
      </c>
      <c r="C103" s="7" t="s">
        <v>8</v>
      </c>
      <c r="D103" s="6" t="str">
        <f>IF(AND('Job Planning'!$L103="",'Job Planning'!$O103=0)=TRUE,"Can Close","Can't")</f>
        <v>Can Close</v>
      </c>
      <c r="E103" s="6" t="str">
        <f>_xlfn.TEXTJOIN(", ",TRUE,IF(N103=0,"","Inspection"),IF('Job Planning'!$O103=0,"","Defect"))</f>
        <v/>
      </c>
      <c r="F103" s="21"/>
      <c r="G103" s="8" t="s">
        <v>386</v>
      </c>
      <c r="H103" s="7" t="s">
        <v>8</v>
      </c>
      <c r="I103" s="7" t="s">
        <v>8</v>
      </c>
      <c r="J103" s="7" t="s">
        <v>8</v>
      </c>
      <c r="K103" s="7" t="s">
        <v>8</v>
      </c>
      <c r="L103" s="19" t="str">
        <f>_xlfn.TEXTJOIN(", ",TRUE,
IF(ISNUMBER(MATCH('Job Planning'!$H103,{"To Be Signed","Started","Awaiting RFI","Outstanding","RFI Scheduled"},0)),"Stage 1",""),
IF(ISNUMBER(MATCH('Job Planning'!$I103,{"To Be Signed","Started","Awaiting RFI","Outstanding","RFI Scheduled"},0)),"Stage 2",""),
IF(ISNUMBER(MATCH('Job Planning'!$J103,{"To Be Signed","Started","Awaiting RFI","Outstanding","RFI Scheduled"},0)),"Stage 3",""),
IF(ISNUMBER(MATCH('Job Planning'!$K103,{"To Be Signed","Started","Awaiting RFI","Outstanding","RFI Scheduled"},0)),"Stage 4",""))</f>
        <v/>
      </c>
      <c r="M103" s="7">
        <f>4-COUNTIF('Job Planning'!$H103:$K103,"N/A")-_xlfn.LET(_xlpm.pending,LEN('Job Planning'!$L103)-LEN(SUBSTITUTE('Job Planning'!$L103,",",""))+1,IF('Job Planning'!$L103="",0,_xlpm.pending))</f>
        <v>4</v>
      </c>
      <c r="N103" s="7">
        <f>_xlfn.LET(_xlpm.pending,LEN('Job Planning'!$L103)-LEN(SUBSTITUTE('Job Planning'!$L103,",",""))+1,IF('Job Planning'!$L103="",0,_xlpm.pending))</f>
        <v>0</v>
      </c>
      <c r="O103" s="7">
        <f>SUM('Job Planning'!$P103:$Q103)</f>
        <v>0</v>
      </c>
      <c r="P103" s="7">
        <f>COUNTIFS('Defect List'!C:C,'Job Planning'!G103,'Defect List'!B:B,"Outstanding",'Defect List'!G:G,"Major")</f>
        <v>0</v>
      </c>
      <c r="Q103" s="7">
        <f>COUNTIFS('Defect List'!C:C,'Job Planning'!G103,'Defect List'!B:B,"Outstanding",'Defect List'!G:G,"Minor")</f>
        <v>0</v>
      </c>
      <c r="R103" s="8" t="str" cm="1">
        <f t="array" ref="R103">_xlfn.TEXTJOIN("
",TRUE,_xlfn._xlws.FILTER('Outstanding Defect (PQ)'!G:G,'Outstanding Defect (PQ)'!B:B='Job Planning'!G103,""))</f>
        <v/>
      </c>
      <c r="S103" s="3"/>
      <c r="T103" s="30" t="str">
        <f>_xlfn.TEXTAFTER(G103,"-",-2)</f>
        <v>DRN-8288</v>
      </c>
      <c r="U103" s="1" t="str">
        <f>IF(_xlfn.XLOOKUP('Job Planning'!$G103,Search!B:B,Search!C:C,"",0)="","",_xlfn.XLOOKUP('Job Planning'!$G103,Search!B:B,Search!C:C,"",0))</f>
        <v/>
      </c>
      <c r="V103" s="1" t="str">
        <f>_xlfn.XLOOKUP('Job Planning'!$T103,Search!A:A,Search!C:C,"",0)</f>
        <v/>
      </c>
      <c r="W103" s="1" t="str">
        <f>_xlfn.XLOOKUP('Job Planning'!$B103,Search!B:B,Search!C:C,"",0)</f>
        <v/>
      </c>
    </row>
    <row r="104" spans="1:23" ht="14.4">
      <c r="A104" s="7" t="s">
        <v>13</v>
      </c>
      <c r="B104" s="7" t="s">
        <v>128</v>
      </c>
      <c r="C104" s="7" t="s">
        <v>8</v>
      </c>
      <c r="D104" s="6" t="str">
        <f>IF(AND('Job Planning'!$L104="",'Job Planning'!$O104=0)=TRUE,"Can Close","Can't")</f>
        <v>Can Close</v>
      </c>
      <c r="E104" s="6" t="str">
        <f>_xlfn.TEXTJOIN(", ",TRUE,IF(N104=0,"","Inspection"),IF('Job Planning'!$O104=0,"","Defect"))</f>
        <v/>
      </c>
      <c r="F104" s="21"/>
      <c r="G104" s="8" t="s">
        <v>387</v>
      </c>
      <c r="H104" s="7" t="s">
        <v>8</v>
      </c>
      <c r="I104" s="7" t="s">
        <v>8</v>
      </c>
      <c r="J104" s="7" t="s">
        <v>8</v>
      </c>
      <c r="K104" s="7" t="s">
        <v>8</v>
      </c>
      <c r="L104" s="19" t="str">
        <f>_xlfn.TEXTJOIN(", ",TRUE,
IF(ISNUMBER(MATCH('Job Planning'!$H104,{"To Be Signed","Started","Awaiting RFI","Outstanding","RFI Scheduled"},0)),"Stage 1",""),
IF(ISNUMBER(MATCH('Job Planning'!$I104,{"To Be Signed","Started","Awaiting RFI","Outstanding","RFI Scheduled"},0)),"Stage 2",""),
IF(ISNUMBER(MATCH('Job Planning'!$J104,{"To Be Signed","Started","Awaiting RFI","Outstanding","RFI Scheduled"},0)),"Stage 3",""),
IF(ISNUMBER(MATCH('Job Planning'!$K104,{"To Be Signed","Started","Awaiting RFI","Outstanding","RFI Scheduled"},0)),"Stage 4",""))</f>
        <v/>
      </c>
      <c r="M104" s="7">
        <f>4-COUNTIF('Job Planning'!$H104:$K104,"N/A")-_xlfn.LET(_xlpm.pending,LEN('Job Planning'!$L104)-LEN(SUBSTITUTE('Job Planning'!$L104,",",""))+1,IF('Job Planning'!$L104="",0,_xlpm.pending))</f>
        <v>4</v>
      </c>
      <c r="N104" s="7">
        <f>_xlfn.LET(_xlpm.pending,LEN('Job Planning'!$L104)-LEN(SUBSTITUTE('Job Planning'!$L104,",",""))+1,IF('Job Planning'!$L104="",0,_xlpm.pending))</f>
        <v>0</v>
      </c>
      <c r="O104" s="7">
        <f>SUM('Job Planning'!$P104:$Q104)</f>
        <v>0</v>
      </c>
      <c r="P104" s="7">
        <f>COUNTIFS('Defect List'!C:C,'Job Planning'!G104,'Defect List'!B:B,"Outstanding",'Defect List'!G:G,"Major")</f>
        <v>0</v>
      </c>
      <c r="Q104" s="7">
        <f>COUNTIFS('Defect List'!C:C,'Job Planning'!G104,'Defect List'!B:B,"Outstanding",'Defect List'!G:G,"Minor")</f>
        <v>0</v>
      </c>
      <c r="R104" s="8" t="str" cm="1">
        <f t="array" ref="R104">_xlfn.TEXTJOIN("
",TRUE,_xlfn._xlws.FILTER('Outstanding Defect (PQ)'!G:G,'Outstanding Defect (PQ)'!B:B='Job Planning'!G104,""))</f>
        <v/>
      </c>
      <c r="S104" s="3"/>
      <c r="T104" s="30" t="str">
        <f>_xlfn.TEXTAFTER(G104,"-",-2)</f>
        <v>PLMB-8204</v>
      </c>
      <c r="U104" s="1" t="str">
        <f>IF(_xlfn.XLOOKUP('Job Planning'!$G104,Search!B:B,Search!C:C,"",0)="","",_xlfn.XLOOKUP('Job Planning'!$G104,Search!B:B,Search!C:C,"",0))</f>
        <v/>
      </c>
      <c r="V104" s="1" t="str">
        <f>_xlfn.XLOOKUP('Job Planning'!$T104,Search!A:A,Search!C:C,"",0)</f>
        <v/>
      </c>
      <c r="W104" s="1" t="str">
        <f>_xlfn.XLOOKUP('Job Planning'!$B104,Search!B:B,Search!C:C,"",0)</f>
        <v/>
      </c>
    </row>
    <row r="105" spans="1:23" ht="14.4">
      <c r="A105" s="7" t="s">
        <v>13</v>
      </c>
      <c r="B105" s="7" t="s">
        <v>129</v>
      </c>
      <c r="C105" s="7" t="s">
        <v>8</v>
      </c>
      <c r="D105" s="6" t="str">
        <f>IF(AND('Job Planning'!$L105="",'Job Planning'!$O105=0)=TRUE,"Can Close","Can't")</f>
        <v>Can Close</v>
      </c>
      <c r="E105" s="6" t="str">
        <f>_xlfn.TEXTJOIN(", ",TRUE,IF(N105=0,"","Inspection"),IF('Job Planning'!$O105=0,"","Defect"))</f>
        <v/>
      </c>
      <c r="F105" s="21"/>
      <c r="G105" s="8" t="s">
        <v>388</v>
      </c>
      <c r="H105" s="7" t="s">
        <v>8</v>
      </c>
      <c r="I105" s="7" t="s">
        <v>8</v>
      </c>
      <c r="J105" s="7" t="s">
        <v>8</v>
      </c>
      <c r="K105" s="7" t="s">
        <v>8</v>
      </c>
      <c r="L105" s="19" t="str">
        <f>_xlfn.TEXTJOIN(", ",TRUE,
IF(ISNUMBER(MATCH('Job Planning'!$H105,{"To Be Signed","Started","Awaiting RFI","Outstanding","RFI Scheduled"},0)),"Stage 1",""),
IF(ISNUMBER(MATCH('Job Planning'!$I105,{"To Be Signed","Started","Awaiting RFI","Outstanding","RFI Scheduled"},0)),"Stage 2",""),
IF(ISNUMBER(MATCH('Job Planning'!$J105,{"To Be Signed","Started","Awaiting RFI","Outstanding","RFI Scheduled"},0)),"Stage 3",""),
IF(ISNUMBER(MATCH('Job Planning'!$K105,{"To Be Signed","Started","Awaiting RFI","Outstanding","RFI Scheduled"},0)),"Stage 4",""))</f>
        <v/>
      </c>
      <c r="M105" s="7">
        <f>4-COUNTIF('Job Planning'!$H105:$K105,"N/A")-_xlfn.LET(_xlpm.pending,LEN('Job Planning'!$L105)-LEN(SUBSTITUTE('Job Planning'!$L105,",",""))+1,IF('Job Planning'!$L105="",0,_xlpm.pending))</f>
        <v>4</v>
      </c>
      <c r="N105" s="7">
        <f>_xlfn.LET(_xlpm.pending,LEN('Job Planning'!$L105)-LEN(SUBSTITUTE('Job Planning'!$L105,",",""))+1,IF('Job Planning'!$L105="",0,_xlpm.pending))</f>
        <v>0</v>
      </c>
      <c r="O105" s="7">
        <f>SUM('Job Planning'!$P105:$Q105)</f>
        <v>0</v>
      </c>
      <c r="P105" s="7">
        <f>COUNTIFS('Defect List'!C:C,'Job Planning'!G105,'Defect List'!B:B,"Outstanding",'Defect List'!G:G,"Major")</f>
        <v>0</v>
      </c>
      <c r="Q105" s="7">
        <f>COUNTIFS('Defect List'!C:C,'Job Planning'!G105,'Defect List'!B:B,"Outstanding",'Defect List'!G:G,"Minor")</f>
        <v>0</v>
      </c>
      <c r="R105" s="8" t="str" cm="1">
        <f t="array" ref="R105">_xlfn.TEXTJOIN("
",TRUE,_xlfn._xlws.FILTER('Outstanding Defect (PQ)'!G:G,'Outstanding Defect (PQ)'!B:B='Job Planning'!G105,""))</f>
        <v/>
      </c>
      <c r="S105" s="3"/>
      <c r="T105" s="30" t="str">
        <f>_xlfn.TEXTAFTER(G105,"-",-2)</f>
        <v>HVAC-8298</v>
      </c>
      <c r="U105" s="1" t="str">
        <f>IF(_xlfn.XLOOKUP('Job Planning'!$G105,Search!B:B,Search!C:C,"",0)="","",_xlfn.XLOOKUP('Job Planning'!$G105,Search!B:B,Search!C:C,"",0))</f>
        <v/>
      </c>
      <c r="V105" s="1" t="str">
        <f>_xlfn.XLOOKUP('Job Planning'!$T105,Search!A:A,Search!C:C,"",0)</f>
        <v/>
      </c>
      <c r="W105" s="1" t="str">
        <f>_xlfn.XLOOKUP('Job Planning'!$B105,Search!B:B,Search!C:C,"",0)</f>
        <v/>
      </c>
    </row>
    <row r="106" spans="1:23" ht="14.4">
      <c r="A106" s="7" t="s">
        <v>13</v>
      </c>
      <c r="B106" s="7" t="s">
        <v>130</v>
      </c>
      <c r="C106" s="7" t="s">
        <v>8</v>
      </c>
      <c r="D106" s="6" t="str">
        <f>IF(AND('Job Planning'!$L106="",'Job Planning'!$O106=0)=TRUE,"Can Close","Can't")</f>
        <v>Can Close</v>
      </c>
      <c r="E106" s="6" t="str">
        <f>_xlfn.TEXTJOIN(", ",TRUE,IF(N106=0,"","Inspection"),IF('Job Planning'!$O106=0,"","Defect"))</f>
        <v/>
      </c>
      <c r="F106" s="21"/>
      <c r="G106" s="8" t="s">
        <v>389</v>
      </c>
      <c r="H106" s="7" t="s">
        <v>8</v>
      </c>
      <c r="I106" s="7" t="s">
        <v>8</v>
      </c>
      <c r="J106" s="7" t="s">
        <v>8</v>
      </c>
      <c r="K106" s="7" t="s">
        <v>8</v>
      </c>
      <c r="L106" s="19" t="str">
        <f>_xlfn.TEXTJOIN(", ",TRUE,
IF(ISNUMBER(MATCH('Job Planning'!$H106,{"To Be Signed","Started","Awaiting RFI","Outstanding","RFI Scheduled"},0)),"Stage 1",""),
IF(ISNUMBER(MATCH('Job Planning'!$I106,{"To Be Signed","Started","Awaiting RFI","Outstanding","RFI Scheduled"},0)),"Stage 2",""),
IF(ISNUMBER(MATCH('Job Planning'!$J106,{"To Be Signed","Started","Awaiting RFI","Outstanding","RFI Scheduled"},0)),"Stage 3",""),
IF(ISNUMBER(MATCH('Job Planning'!$K106,{"To Be Signed","Started","Awaiting RFI","Outstanding","RFI Scheduled"},0)),"Stage 4",""))</f>
        <v/>
      </c>
      <c r="M106" s="7">
        <f>4-COUNTIF('Job Planning'!$H106:$K106,"N/A")-_xlfn.LET(_xlpm.pending,LEN('Job Planning'!$L106)-LEN(SUBSTITUTE('Job Planning'!$L106,",",""))+1,IF('Job Planning'!$L106="",0,_xlpm.pending))</f>
        <v>4</v>
      </c>
      <c r="N106" s="7">
        <f>_xlfn.LET(_xlpm.pending,LEN('Job Planning'!$L106)-LEN(SUBSTITUTE('Job Planning'!$L106,",",""))+1,IF('Job Planning'!$L106="",0,_xlpm.pending))</f>
        <v>0</v>
      </c>
      <c r="O106" s="7">
        <f>SUM('Job Planning'!$P106:$Q106)</f>
        <v>0</v>
      </c>
      <c r="P106" s="7">
        <f>COUNTIFS('Defect List'!C:C,'Job Planning'!G106,'Defect List'!B:B,"Outstanding",'Defect List'!G:G,"Major")</f>
        <v>0</v>
      </c>
      <c r="Q106" s="7">
        <f>COUNTIFS('Defect List'!C:C,'Job Planning'!G106,'Defect List'!B:B,"Outstanding",'Defect List'!G:G,"Minor")</f>
        <v>0</v>
      </c>
      <c r="R106" s="8" t="str" cm="1">
        <f t="array" ref="R106">_xlfn.TEXTJOIN("
",TRUE,_xlfn._xlws.FILTER('Outstanding Defect (PQ)'!G:G,'Outstanding Defect (PQ)'!B:B='Job Planning'!G106,""))</f>
        <v/>
      </c>
      <c r="S106" s="3"/>
      <c r="T106" s="30" t="str">
        <f>_xlfn.TEXTAFTER(G106,"-",-2)</f>
        <v>CTRL-8201</v>
      </c>
      <c r="U106" s="1" t="str">
        <f>IF(_xlfn.XLOOKUP('Job Planning'!$G106,Search!B:B,Search!C:C,"",0)="","",_xlfn.XLOOKUP('Job Planning'!$G106,Search!B:B,Search!C:C,"",0))</f>
        <v/>
      </c>
      <c r="V106" s="1" t="str">
        <f>_xlfn.XLOOKUP('Job Planning'!$T106,Search!A:A,Search!C:C,"",0)</f>
        <v/>
      </c>
      <c r="W106" s="1" t="str">
        <f>_xlfn.XLOOKUP('Job Planning'!$B106,Search!B:B,Search!C:C,"",0)</f>
        <v/>
      </c>
    </row>
    <row r="107" spans="1:23" ht="14.4">
      <c r="A107" s="7" t="s">
        <v>13</v>
      </c>
      <c r="B107" s="7" t="s">
        <v>131</v>
      </c>
      <c r="C107" s="7" t="s">
        <v>8</v>
      </c>
      <c r="D107" s="6" t="str">
        <f>IF(AND('Job Planning'!$L107="",'Job Planning'!$O107=0)=TRUE,"Can Close","Can't")</f>
        <v>Can Close</v>
      </c>
      <c r="E107" s="6" t="str">
        <f>_xlfn.TEXTJOIN(", ",TRUE,IF(N107=0,"","Inspection"),IF('Job Planning'!$O107=0,"","Defect"))</f>
        <v/>
      </c>
      <c r="F107" s="21"/>
      <c r="G107" s="8" t="s">
        <v>390</v>
      </c>
      <c r="H107" s="7" t="s">
        <v>8</v>
      </c>
      <c r="I107" s="7" t="s">
        <v>8</v>
      </c>
      <c r="J107" s="7" t="s">
        <v>8</v>
      </c>
      <c r="K107" s="7" t="s">
        <v>8</v>
      </c>
      <c r="L107" s="19" t="str">
        <f>_xlfn.TEXTJOIN(", ",TRUE,
IF(ISNUMBER(MATCH('Job Planning'!$H107,{"To Be Signed","Started","Awaiting RFI","Outstanding","RFI Scheduled"},0)),"Stage 1",""),
IF(ISNUMBER(MATCH('Job Planning'!$I107,{"To Be Signed","Started","Awaiting RFI","Outstanding","RFI Scheduled"},0)),"Stage 2",""),
IF(ISNUMBER(MATCH('Job Planning'!$J107,{"To Be Signed","Started","Awaiting RFI","Outstanding","RFI Scheduled"},0)),"Stage 3",""),
IF(ISNUMBER(MATCH('Job Planning'!$K107,{"To Be Signed","Started","Awaiting RFI","Outstanding","RFI Scheduled"},0)),"Stage 4",""))</f>
        <v/>
      </c>
      <c r="M107" s="7">
        <f>4-COUNTIF('Job Planning'!$H107:$K107,"N/A")-_xlfn.LET(_xlpm.pending,LEN('Job Planning'!$L107)-LEN(SUBSTITUTE('Job Planning'!$L107,",",""))+1,IF('Job Planning'!$L107="",0,_xlpm.pending))</f>
        <v>4</v>
      </c>
      <c r="N107" s="7">
        <f>_xlfn.LET(_xlpm.pending,LEN('Job Planning'!$L107)-LEN(SUBSTITUTE('Job Planning'!$L107,",",""))+1,IF('Job Planning'!$L107="",0,_xlpm.pending))</f>
        <v>0</v>
      </c>
      <c r="O107" s="7">
        <f>SUM('Job Planning'!$P107:$Q107)</f>
        <v>0</v>
      </c>
      <c r="P107" s="7">
        <f>COUNTIFS('Defect List'!C:C,'Job Planning'!G107,'Defect List'!B:B,"Outstanding",'Defect List'!G:G,"Major")</f>
        <v>0</v>
      </c>
      <c r="Q107" s="7">
        <f>COUNTIFS('Defect List'!C:C,'Job Planning'!G107,'Defect List'!B:B,"Outstanding",'Defect List'!G:G,"Minor")</f>
        <v>0</v>
      </c>
      <c r="R107" s="8" t="str" cm="1">
        <f t="array" ref="R107">_xlfn.TEXTJOIN("
",TRUE,_xlfn._xlws.FILTER('Outstanding Defect (PQ)'!G:G,'Outstanding Defect (PQ)'!B:B='Job Planning'!G107,""))</f>
        <v/>
      </c>
      <c r="S107" s="3"/>
      <c r="T107" s="30" t="str">
        <f>_xlfn.TEXTAFTER(G107,"-",-2)</f>
        <v>DOC-8330</v>
      </c>
      <c r="U107" s="1" t="str">
        <f>IF(_xlfn.XLOOKUP('Job Planning'!$G107,Search!B:B,Search!C:C,"",0)="","",_xlfn.XLOOKUP('Job Planning'!$G107,Search!B:B,Search!C:C,"",0))</f>
        <v/>
      </c>
      <c r="V107" s="1" t="str">
        <f>_xlfn.XLOOKUP('Job Planning'!$T107,Search!A:A,Search!C:C,"",0)</f>
        <v/>
      </c>
      <c r="W107" s="1" t="str">
        <f>_xlfn.XLOOKUP('Job Planning'!$B107,Search!B:B,Search!C:C,"",0)</f>
        <v/>
      </c>
    </row>
    <row r="108" spans="1:23" ht="14.4">
      <c r="A108" s="7" t="s">
        <v>13</v>
      </c>
      <c r="B108" s="7" t="s">
        <v>132</v>
      </c>
      <c r="C108" s="7" t="s">
        <v>8</v>
      </c>
      <c r="D108" s="6" t="str">
        <f>IF(AND('Job Planning'!$L108="",'Job Planning'!$O108=0)=TRUE,"Can Close","Can't")</f>
        <v>Can Close</v>
      </c>
      <c r="E108" s="6" t="str">
        <f>_xlfn.TEXTJOIN(", ",TRUE,IF(N108=0,"","Inspection"),IF('Job Planning'!$O108=0,"","Defect"))</f>
        <v/>
      </c>
      <c r="F108" s="21"/>
      <c r="G108" s="8" t="s">
        <v>391</v>
      </c>
      <c r="H108" s="7" t="s">
        <v>8</v>
      </c>
      <c r="I108" s="7" t="s">
        <v>8</v>
      </c>
      <c r="J108" s="7" t="s">
        <v>8</v>
      </c>
      <c r="K108" s="7" t="s">
        <v>8</v>
      </c>
      <c r="L108" s="19" t="str">
        <f>_xlfn.TEXTJOIN(", ",TRUE,
IF(ISNUMBER(MATCH('Job Planning'!$H108,{"To Be Signed","Started","Awaiting RFI","Outstanding","RFI Scheduled"},0)),"Stage 1",""),
IF(ISNUMBER(MATCH('Job Planning'!$I108,{"To Be Signed","Started","Awaiting RFI","Outstanding","RFI Scheduled"},0)),"Stage 2",""),
IF(ISNUMBER(MATCH('Job Planning'!$J108,{"To Be Signed","Started","Awaiting RFI","Outstanding","RFI Scheduled"},0)),"Stage 3",""),
IF(ISNUMBER(MATCH('Job Planning'!$K108,{"To Be Signed","Started","Awaiting RFI","Outstanding","RFI Scheduled"},0)),"Stage 4",""))</f>
        <v/>
      </c>
      <c r="M108" s="7">
        <f>4-COUNTIF('Job Planning'!$H108:$K108,"N/A")-_xlfn.LET(_xlpm.pending,LEN('Job Planning'!$L108)-LEN(SUBSTITUTE('Job Planning'!$L108,",",""))+1,IF('Job Planning'!$L108="",0,_xlpm.pending))</f>
        <v>4</v>
      </c>
      <c r="N108" s="7">
        <f>_xlfn.LET(_xlpm.pending,LEN('Job Planning'!$L108)-LEN(SUBSTITUTE('Job Planning'!$L108,",",""))+1,IF('Job Planning'!$L108="",0,_xlpm.pending))</f>
        <v>0</v>
      </c>
      <c r="O108" s="7">
        <f>SUM('Job Planning'!$P108:$Q108)</f>
        <v>0</v>
      </c>
      <c r="P108" s="7">
        <f>COUNTIFS('Defect List'!C:C,'Job Planning'!G108,'Defect List'!B:B,"Outstanding",'Defect List'!G:G,"Major")</f>
        <v>0</v>
      </c>
      <c r="Q108" s="7">
        <f>COUNTIFS('Defect List'!C:C,'Job Planning'!G108,'Defect List'!B:B,"Outstanding",'Defect List'!G:G,"Minor")</f>
        <v>0</v>
      </c>
      <c r="R108" s="8" t="str" cm="1">
        <f t="array" ref="R108">_xlfn.TEXTJOIN("
",TRUE,_xlfn._xlws.FILTER('Outstanding Defect (PQ)'!G:G,'Outstanding Defect (PQ)'!B:B='Job Planning'!G108,""))</f>
        <v/>
      </c>
      <c r="S108" s="3"/>
      <c r="T108" s="30" t="str">
        <f>_xlfn.TEXTAFTER(G108,"-",-2)</f>
        <v>MECH-8313</v>
      </c>
      <c r="U108" s="1" t="str">
        <f>IF(_xlfn.XLOOKUP('Job Planning'!$G108,Search!B:B,Search!C:C,"",0)="","",_xlfn.XLOOKUP('Job Planning'!$G108,Search!B:B,Search!C:C,"",0))</f>
        <v/>
      </c>
      <c r="V108" s="1" t="str">
        <f>_xlfn.XLOOKUP('Job Planning'!$T108,Search!A:A,Search!C:C,"",0)</f>
        <v/>
      </c>
      <c r="W108" s="1" t="str">
        <f>_xlfn.XLOOKUP('Job Planning'!$B108,Search!B:B,Search!C:C,"",0)</f>
        <v/>
      </c>
    </row>
    <row r="109" spans="1:23" ht="14.4">
      <c r="A109" s="7" t="s">
        <v>13</v>
      </c>
      <c r="B109" s="7" t="s">
        <v>133</v>
      </c>
      <c r="C109" s="7" t="s">
        <v>8</v>
      </c>
      <c r="D109" s="6" t="str">
        <f>IF(AND('Job Planning'!$L109="",'Job Planning'!$O109=0)=TRUE,"Can Close","Can't")</f>
        <v>Can Close</v>
      </c>
      <c r="E109" s="6" t="str">
        <f>_xlfn.TEXTJOIN(", ",TRUE,IF(N109=0,"","Inspection"),IF('Job Planning'!$O109=0,"","Defect"))</f>
        <v/>
      </c>
      <c r="F109" s="21"/>
      <c r="G109" s="8" t="s">
        <v>392</v>
      </c>
      <c r="H109" s="7" t="s">
        <v>8</v>
      </c>
      <c r="I109" s="7" t="s">
        <v>8</v>
      </c>
      <c r="J109" s="7" t="s">
        <v>8</v>
      </c>
      <c r="K109" s="7" t="s">
        <v>8</v>
      </c>
      <c r="L109" s="19" t="str">
        <f>_xlfn.TEXTJOIN(", ",TRUE,
IF(ISNUMBER(MATCH('Job Planning'!$H109,{"To Be Signed","Started","Awaiting RFI","Outstanding","RFI Scheduled"},0)),"Stage 1",""),
IF(ISNUMBER(MATCH('Job Planning'!$I109,{"To Be Signed","Started","Awaiting RFI","Outstanding","RFI Scheduled"},0)),"Stage 2",""),
IF(ISNUMBER(MATCH('Job Planning'!$J109,{"To Be Signed","Started","Awaiting RFI","Outstanding","RFI Scheduled"},0)),"Stage 3",""),
IF(ISNUMBER(MATCH('Job Planning'!$K109,{"To Be Signed","Started","Awaiting RFI","Outstanding","RFI Scheduled"},0)),"Stage 4",""))</f>
        <v/>
      </c>
      <c r="M109" s="7">
        <f>4-COUNTIF('Job Planning'!$H109:$K109,"N/A")-_xlfn.LET(_xlpm.pending,LEN('Job Planning'!$L109)-LEN(SUBSTITUTE('Job Planning'!$L109,",",""))+1,IF('Job Planning'!$L109="",0,_xlpm.pending))</f>
        <v>4</v>
      </c>
      <c r="N109" s="7">
        <f>_xlfn.LET(_xlpm.pending,LEN('Job Planning'!$L109)-LEN(SUBSTITUTE('Job Planning'!$L109,",",""))+1,IF('Job Planning'!$L109="",0,_xlpm.pending))</f>
        <v>0</v>
      </c>
      <c r="O109" s="7">
        <f>SUM('Job Planning'!$P109:$Q109)</f>
        <v>0</v>
      </c>
      <c r="P109" s="7">
        <f>COUNTIFS('Defect List'!C:C,'Job Planning'!G109,'Defect List'!B:B,"Outstanding",'Defect List'!G:G,"Major")</f>
        <v>0</v>
      </c>
      <c r="Q109" s="7">
        <f>COUNTIFS('Defect List'!C:C,'Job Planning'!G109,'Defect List'!B:B,"Outstanding",'Defect List'!G:G,"Minor")</f>
        <v>0</v>
      </c>
      <c r="R109" s="8" t="str" cm="1">
        <f t="array" ref="R109">_xlfn.TEXTJOIN("
",TRUE,_xlfn._xlws.FILTER('Outstanding Defect (PQ)'!G:G,'Outstanding Defect (PQ)'!B:B='Job Planning'!G109,""))</f>
        <v/>
      </c>
      <c r="S109" s="3"/>
      <c r="T109" s="30" t="str">
        <f>_xlfn.TEXTAFTER(G109,"-",-2)</f>
        <v>HVAC-8299</v>
      </c>
      <c r="U109" s="1" t="str">
        <f>IF(_xlfn.XLOOKUP('Job Planning'!$G109,Search!B:B,Search!C:C,"",0)="","",_xlfn.XLOOKUP('Job Planning'!$G109,Search!B:B,Search!C:C,"",0))</f>
        <v/>
      </c>
      <c r="V109" s="1" t="str">
        <f>_xlfn.XLOOKUP('Job Planning'!$T109,Search!A:A,Search!C:C,"",0)</f>
        <v/>
      </c>
      <c r="W109" s="1" t="str">
        <f>_xlfn.XLOOKUP('Job Planning'!$B109,Search!B:B,Search!C:C,"",0)</f>
        <v/>
      </c>
    </row>
    <row r="110" spans="1:23" ht="14.4">
      <c r="A110" s="14" t="s">
        <v>6</v>
      </c>
      <c r="B110" s="14" t="s">
        <v>32</v>
      </c>
      <c r="C110" s="14" t="s">
        <v>7</v>
      </c>
      <c r="D110" s="13" t="str">
        <f>IF(AND('Job Planning'!$L110="",'Job Planning'!$O110=0)=TRUE,"Can Close","Can't")</f>
        <v>Can't</v>
      </c>
      <c r="E110" s="13" t="str">
        <f>_xlfn.TEXTJOIN(", ",TRUE,IF(N110=0,"","Inspection"),IF('Job Planning'!$O110=0,"","Defect"))</f>
        <v>Inspection</v>
      </c>
      <c r="F110" s="22" t="s">
        <v>176</v>
      </c>
      <c r="G110" s="15" t="s">
        <v>393</v>
      </c>
      <c r="H110" s="14" t="s">
        <v>8</v>
      </c>
      <c r="I110" s="14" t="s">
        <v>8</v>
      </c>
      <c r="J110" s="14" t="s">
        <v>7</v>
      </c>
      <c r="K110" s="14" t="s">
        <v>11</v>
      </c>
      <c r="L110" s="20" t="str">
        <f>_xlfn.TEXTJOIN(", ",TRUE,
IF(ISNUMBER(MATCH('Job Planning'!$H110,{"To Be Signed","Started","Awaiting RFI","Outstanding","RFI Scheduled"},0)),"Stage 1",""),
IF(ISNUMBER(MATCH('Job Planning'!$I110,{"To Be Signed","Started","Awaiting RFI","Outstanding","RFI Scheduled"},0)),"Stage 2",""),
IF(ISNUMBER(MATCH('Job Planning'!$J110,{"To Be Signed","Started","Awaiting RFI","Outstanding","RFI Scheduled"},0)),"Stage 3",""),
IF(ISNUMBER(MATCH('Job Planning'!$K110,{"To Be Signed","Started","Awaiting RFI","Outstanding","RFI Scheduled"},0)),"Stage 4",""))</f>
        <v>Stage 3</v>
      </c>
      <c r="M110" s="14">
        <f>4-COUNTIF('Job Planning'!$H110:$K110,"N/A")-_xlfn.LET(_xlpm.pending,LEN('Job Planning'!$L110)-LEN(SUBSTITUTE('Job Planning'!$L110,",",""))+1,IF('Job Planning'!$L110="",0,_xlpm.pending))</f>
        <v>2</v>
      </c>
      <c r="N110" s="14">
        <f>_xlfn.LET(_xlpm.pending,LEN('Job Planning'!$L110)-LEN(SUBSTITUTE('Job Planning'!$L110,",",""))+1,IF('Job Planning'!$L110="",0,_xlpm.pending))</f>
        <v>1</v>
      </c>
      <c r="O110" s="14">
        <f>SUM('Job Planning'!$P110:$Q110)</f>
        <v>0</v>
      </c>
      <c r="P110" s="14">
        <f>COUNTIFS('Defect List'!C:C,'Job Planning'!G110,'Defect List'!B:B,"Outstanding",'Defect List'!G:G,"Major")</f>
        <v>0</v>
      </c>
      <c r="Q110" s="14">
        <f>COUNTIFS('Defect List'!C:C,'Job Planning'!G110,'Defect List'!B:B,"Outstanding",'Defect List'!G:G,"Minor")</f>
        <v>0</v>
      </c>
      <c r="R110" s="15" t="str" cm="1">
        <f t="array" ref="R110">_xlfn.TEXTJOIN("
",TRUE,_xlfn._xlws.FILTER('Outstanding Defect (PQ)'!G:G,'Outstanding Defect (PQ)'!B:B='Job Planning'!G110,""))</f>
        <v/>
      </c>
      <c r="S110" s="23">
        <v>46846</v>
      </c>
      <c r="T110" s="30" t="str">
        <f>_xlfn.TEXTAFTER(G110,"-",-2)</f>
        <v>GEN-4377</v>
      </c>
      <c r="U110" s="1" t="str">
        <f>IF(_xlfn.XLOOKUP('Job Planning'!$G110,Search!B:B,Search!C:C,"",0)="","",_xlfn.XLOOKUP('Job Planning'!$G110,Search!B:B,Search!C:C,"",0))</f>
        <v/>
      </c>
      <c r="V110" s="1" t="str">
        <f>_xlfn.XLOOKUP('Job Planning'!$T110,Search!A:A,Search!C:C,"",0)</f>
        <v/>
      </c>
      <c r="W110" s="1" t="str">
        <f>_xlfn.XLOOKUP('Job Planning'!$B110,Search!B:B,Search!C:C,"",0)</f>
        <v/>
      </c>
    </row>
    <row r="111" spans="1:23" ht="14.4">
      <c r="A111" s="7" t="s">
        <v>19</v>
      </c>
      <c r="B111" s="7" t="s">
        <v>33</v>
      </c>
      <c r="C111" s="7" t="s">
        <v>8</v>
      </c>
      <c r="D111" s="6" t="str">
        <f>IF(AND('Job Planning'!$L111="",'Job Planning'!$O111=0)=TRUE,"Can Close","Can't")</f>
        <v>Can Close</v>
      </c>
      <c r="E111" s="6" t="str">
        <f>_xlfn.TEXTJOIN(", ",TRUE,IF(N111=0,"","Inspection"),IF('Job Planning'!$O111=0,"","Defect"))</f>
        <v/>
      </c>
      <c r="F111" s="21"/>
      <c r="G111" s="8" t="s">
        <v>304</v>
      </c>
      <c r="H111" s="7" t="s">
        <v>8</v>
      </c>
      <c r="I111" s="7" t="s">
        <v>8</v>
      </c>
      <c r="J111" s="7" t="s">
        <v>8</v>
      </c>
      <c r="K111" s="7" t="s">
        <v>8</v>
      </c>
      <c r="L111" s="19" t="str">
        <f>_xlfn.TEXTJOIN(", ",TRUE,
IF(ISNUMBER(MATCH('Job Planning'!$H111,{"To Be Signed","Started","Awaiting RFI","Outstanding","RFI Scheduled"},0)),"Stage 1",""),
IF(ISNUMBER(MATCH('Job Planning'!$I111,{"To Be Signed","Started","Awaiting RFI","Outstanding","RFI Scheduled"},0)),"Stage 2",""),
IF(ISNUMBER(MATCH('Job Planning'!$J111,{"To Be Signed","Started","Awaiting RFI","Outstanding","RFI Scheduled"},0)),"Stage 3",""),
IF(ISNUMBER(MATCH('Job Planning'!$K111,{"To Be Signed","Started","Awaiting RFI","Outstanding","RFI Scheduled"},0)),"Stage 4",""))</f>
        <v/>
      </c>
      <c r="M111" s="7">
        <f>4-COUNTIF('Job Planning'!$H111:$K111,"N/A")-_xlfn.LET(_xlpm.pending,LEN('Job Planning'!$L111)-LEN(SUBSTITUTE('Job Planning'!$L111,",",""))+1,IF('Job Planning'!$L111="",0,_xlpm.pending))</f>
        <v>4</v>
      </c>
      <c r="N111" s="7">
        <f>_xlfn.LET(_xlpm.pending,LEN('Job Planning'!$L111)-LEN(SUBSTITUTE('Job Planning'!$L111,",",""))+1,IF('Job Planning'!$L111="",0,_xlpm.pending))</f>
        <v>0</v>
      </c>
      <c r="O111" s="7">
        <f>SUM('Job Planning'!$P111:$Q111)</f>
        <v>0</v>
      </c>
      <c r="P111" s="7">
        <f>COUNTIFS('Defect List'!C:C,'Job Planning'!G111,'Defect List'!B:B,"Outstanding",'Defect List'!G:G,"Major")</f>
        <v>0</v>
      </c>
      <c r="Q111" s="7">
        <f>COUNTIFS('Defect List'!C:C,'Job Planning'!G111,'Defect List'!B:B,"Outstanding",'Defect List'!G:G,"Minor")</f>
        <v>0</v>
      </c>
      <c r="R111" s="8" t="str" cm="1">
        <f t="array" ref="R111">_xlfn.TEXTJOIN("
",TRUE,_xlfn._xlws.FILTER('Outstanding Defect (PQ)'!G:G,'Outstanding Defect (PQ)'!B:B='Job Planning'!G111,""))</f>
        <v/>
      </c>
      <c r="S111" s="3"/>
      <c r="T111" s="30" t="str">
        <f>_xlfn.TEXTAFTER(G111,"-",-2)</f>
        <v>DOC-4372</v>
      </c>
      <c r="U111" s="1" t="str">
        <f>IF(_xlfn.XLOOKUP('Job Planning'!$G111,Search!B:B,Search!C:C,"",0)="","",_xlfn.XLOOKUP('Job Planning'!$G111,Search!B:B,Search!C:C,"",0))</f>
        <v/>
      </c>
      <c r="V111" s="1" t="str">
        <f>_xlfn.XLOOKUP('Job Planning'!$T111,Search!A:A,Search!C:C,"",0)</f>
        <v/>
      </c>
      <c r="W111" s="1" t="str">
        <f>_xlfn.XLOOKUP('Job Planning'!$B111,Search!B:B,Search!C:C,"",0)</f>
        <v/>
      </c>
    </row>
    <row r="112" spans="1:23" ht="14.4">
      <c r="A112" s="7" t="s">
        <v>19</v>
      </c>
      <c r="B112" s="7" t="s">
        <v>34</v>
      </c>
      <c r="C112" s="7" t="s">
        <v>8</v>
      </c>
      <c r="D112" s="6" t="str">
        <f>IF(AND('Job Planning'!$L112="",'Job Planning'!$O112=0)=TRUE,"Can Close","Can't")</f>
        <v>Can Close</v>
      </c>
      <c r="E112" s="6" t="str">
        <f>_xlfn.TEXTJOIN(", ",TRUE,IF(N112=0,"","Inspection"),IF('Job Planning'!$O112=0,"","Defect"))</f>
        <v/>
      </c>
      <c r="F112" s="21"/>
      <c r="G112" s="8" t="s">
        <v>394</v>
      </c>
      <c r="H112" s="7" t="s">
        <v>8</v>
      </c>
      <c r="I112" s="7" t="s">
        <v>8</v>
      </c>
      <c r="J112" s="7" t="s">
        <v>8</v>
      </c>
      <c r="K112" s="7" t="s">
        <v>8</v>
      </c>
      <c r="L112" s="19" t="str">
        <f>_xlfn.TEXTJOIN(", ",TRUE,
IF(ISNUMBER(MATCH('Job Planning'!$H112,{"To Be Signed","Started","Awaiting RFI","Outstanding","RFI Scheduled"},0)),"Stage 1",""),
IF(ISNUMBER(MATCH('Job Planning'!$I112,{"To Be Signed","Started","Awaiting RFI","Outstanding","RFI Scheduled"},0)),"Stage 2",""),
IF(ISNUMBER(MATCH('Job Planning'!$J112,{"To Be Signed","Started","Awaiting RFI","Outstanding","RFI Scheduled"},0)),"Stage 3",""),
IF(ISNUMBER(MATCH('Job Planning'!$K112,{"To Be Signed","Started","Awaiting RFI","Outstanding","RFI Scheduled"},0)),"Stage 4",""))</f>
        <v/>
      </c>
      <c r="M112" s="7">
        <f>4-COUNTIF('Job Planning'!$H112:$K112,"N/A")-_xlfn.LET(_xlpm.pending,LEN('Job Planning'!$L112)-LEN(SUBSTITUTE('Job Planning'!$L112,",",""))+1,IF('Job Planning'!$L112="",0,_xlpm.pending))</f>
        <v>4</v>
      </c>
      <c r="N112" s="7">
        <f>_xlfn.LET(_xlpm.pending,LEN('Job Planning'!$L112)-LEN(SUBSTITUTE('Job Planning'!$L112,",",""))+1,IF('Job Planning'!$L112="",0,_xlpm.pending))</f>
        <v>0</v>
      </c>
      <c r="O112" s="7">
        <f>SUM('Job Planning'!$P112:$Q112)</f>
        <v>0</v>
      </c>
      <c r="P112" s="7">
        <f>COUNTIFS('Defect List'!C:C,'Job Planning'!G112,'Defect List'!B:B,"Outstanding",'Defect List'!G:G,"Major")</f>
        <v>0</v>
      </c>
      <c r="Q112" s="7">
        <f>COUNTIFS('Defect List'!C:C,'Job Planning'!G112,'Defect List'!B:B,"Outstanding",'Defect List'!G:G,"Minor")</f>
        <v>0</v>
      </c>
      <c r="R112" s="8" t="str" cm="1">
        <f t="array" ref="R112">_xlfn.TEXTJOIN("
",TRUE,_xlfn._xlws.FILTER('Outstanding Defect (PQ)'!G:G,'Outstanding Defect (PQ)'!B:B='Job Planning'!G112,""))</f>
        <v/>
      </c>
      <c r="S112" s="3"/>
      <c r="T112" s="30" t="str">
        <f>_xlfn.TEXTAFTER(G112,"-",-2)</f>
        <v>DOC-4239</v>
      </c>
      <c r="U112" s="1" t="str">
        <f>IF(_xlfn.XLOOKUP('Job Planning'!$G112,Search!B:B,Search!C:C,"",0)="","",_xlfn.XLOOKUP('Job Planning'!$G112,Search!B:B,Search!C:C,"",0))</f>
        <v/>
      </c>
      <c r="V112" s="1" t="str">
        <f>_xlfn.XLOOKUP('Job Planning'!$T112,Search!A:A,Search!C:C,"",0)</f>
        <v/>
      </c>
      <c r="W112" s="1" t="str">
        <f>_xlfn.XLOOKUP('Job Planning'!$B112,Search!B:B,Search!C:C,"",0)</f>
        <v/>
      </c>
    </row>
    <row r="113" spans="1:23" ht="14.4">
      <c r="A113" s="7" t="s">
        <v>19</v>
      </c>
      <c r="B113" s="7" t="s">
        <v>35</v>
      </c>
      <c r="C113" s="7" t="s">
        <v>8</v>
      </c>
      <c r="D113" s="6" t="str">
        <f>IF(AND('Job Planning'!$L113="",'Job Planning'!$O113=0)=TRUE,"Can Close","Can't")</f>
        <v>Can Close</v>
      </c>
      <c r="E113" s="6" t="str">
        <f>_xlfn.TEXTJOIN(", ",TRUE,IF(N113=0,"","Inspection"),IF('Job Planning'!$O113=0,"","Defect"))</f>
        <v/>
      </c>
      <c r="F113" s="21"/>
      <c r="G113" s="8" t="s">
        <v>395</v>
      </c>
      <c r="H113" s="7" t="s">
        <v>8</v>
      </c>
      <c r="I113" s="7" t="s">
        <v>8</v>
      </c>
      <c r="J113" s="7" t="s">
        <v>8</v>
      </c>
      <c r="K113" s="7" t="s">
        <v>8</v>
      </c>
      <c r="L113" s="19" t="str">
        <f>_xlfn.TEXTJOIN(", ",TRUE,
IF(ISNUMBER(MATCH('Job Planning'!$H113,{"To Be Signed","Started","Awaiting RFI","Outstanding","RFI Scheduled"},0)),"Stage 1",""),
IF(ISNUMBER(MATCH('Job Planning'!$I113,{"To Be Signed","Started","Awaiting RFI","Outstanding","RFI Scheduled"},0)),"Stage 2",""),
IF(ISNUMBER(MATCH('Job Planning'!$J113,{"To Be Signed","Started","Awaiting RFI","Outstanding","RFI Scheduled"},0)),"Stage 3",""),
IF(ISNUMBER(MATCH('Job Planning'!$K113,{"To Be Signed","Started","Awaiting RFI","Outstanding","RFI Scheduled"},0)),"Stage 4",""))</f>
        <v/>
      </c>
      <c r="M113" s="7">
        <f>4-COUNTIF('Job Planning'!$H113:$K113,"N/A")-_xlfn.LET(_xlpm.pending,LEN('Job Planning'!$L113)-LEN(SUBSTITUTE('Job Planning'!$L113,",",""))+1,IF('Job Planning'!$L113="",0,_xlpm.pending))</f>
        <v>4</v>
      </c>
      <c r="N113" s="7">
        <f>_xlfn.LET(_xlpm.pending,LEN('Job Planning'!$L113)-LEN(SUBSTITUTE('Job Planning'!$L113,",",""))+1,IF('Job Planning'!$L113="",0,_xlpm.pending))</f>
        <v>0</v>
      </c>
      <c r="O113" s="7">
        <f>SUM('Job Planning'!$P113:$Q113)</f>
        <v>0</v>
      </c>
      <c r="P113" s="7">
        <f>COUNTIFS('Defect List'!C:C,'Job Planning'!G113,'Defect List'!B:B,"Outstanding",'Defect List'!G:G,"Major")</f>
        <v>0</v>
      </c>
      <c r="Q113" s="7">
        <f>COUNTIFS('Defect List'!C:C,'Job Planning'!G113,'Defect List'!B:B,"Outstanding",'Defect List'!G:G,"Minor")</f>
        <v>0</v>
      </c>
      <c r="R113" s="8" t="str" cm="1">
        <f t="array" ref="R113">_xlfn.TEXTJOIN("
",TRUE,_xlfn._xlws.FILTER('Outstanding Defect (PQ)'!G:G,'Outstanding Defect (PQ)'!B:B='Job Planning'!G113,""))</f>
        <v/>
      </c>
      <c r="S113" s="23"/>
      <c r="T113" s="30" t="str">
        <f>_xlfn.TEXTAFTER(G113,"-",-2)</f>
        <v>DOC-4376</v>
      </c>
      <c r="U113" s="1" t="str">
        <f>IF(_xlfn.XLOOKUP('Job Planning'!$G113,Search!B:B,Search!C:C,"",0)="","",_xlfn.XLOOKUP('Job Planning'!$G113,Search!B:B,Search!C:C,"",0))</f>
        <v/>
      </c>
      <c r="V113" s="1" t="str">
        <f>_xlfn.XLOOKUP('Job Planning'!$T113,Search!A:A,Search!C:C,"",0)</f>
        <v/>
      </c>
      <c r="W113" s="1" t="str">
        <f>_xlfn.XLOOKUP('Job Planning'!$B113,Search!B:B,Search!C:C,"",0)</f>
        <v/>
      </c>
    </row>
    <row r="114" spans="1:23" ht="14.4">
      <c r="A114" s="7" t="s">
        <v>19</v>
      </c>
      <c r="B114" s="7" t="s">
        <v>36</v>
      </c>
      <c r="C114" s="7" t="s">
        <v>8</v>
      </c>
      <c r="D114" s="6" t="str">
        <f>IF(AND('Job Planning'!$L114="",'Job Planning'!$O114=0)=TRUE,"Can Close","Can't")</f>
        <v>Can Close</v>
      </c>
      <c r="E114" s="6" t="str">
        <f>_xlfn.TEXTJOIN(", ",TRUE,IF(N114=0,"","Inspection"),IF('Job Planning'!$O114=0,"","Defect"))</f>
        <v/>
      </c>
      <c r="F114" s="21"/>
      <c r="G114" s="8" t="s">
        <v>396</v>
      </c>
      <c r="H114" s="7" t="s">
        <v>8</v>
      </c>
      <c r="I114" s="7" t="s">
        <v>8</v>
      </c>
      <c r="J114" s="7" t="s">
        <v>8</v>
      </c>
      <c r="K114" s="7" t="s">
        <v>8</v>
      </c>
      <c r="L114" s="19" t="str">
        <f>_xlfn.TEXTJOIN(", ",TRUE,
IF(ISNUMBER(MATCH('Job Planning'!$H114,{"To Be Signed","Started","Awaiting RFI","Outstanding","RFI Scheduled"},0)),"Stage 1",""),
IF(ISNUMBER(MATCH('Job Planning'!$I114,{"To Be Signed","Started","Awaiting RFI","Outstanding","RFI Scheduled"},0)),"Stage 2",""),
IF(ISNUMBER(MATCH('Job Planning'!$J114,{"To Be Signed","Started","Awaiting RFI","Outstanding","RFI Scheduled"},0)),"Stage 3",""),
IF(ISNUMBER(MATCH('Job Planning'!$K114,{"To Be Signed","Started","Awaiting RFI","Outstanding","RFI Scheduled"},0)),"Stage 4",""))</f>
        <v/>
      </c>
      <c r="M114" s="7">
        <f>4-COUNTIF('Job Planning'!$H114:$K114,"N/A")-_xlfn.LET(_xlpm.pending,LEN('Job Planning'!$L114)-LEN(SUBSTITUTE('Job Planning'!$L114,",",""))+1,IF('Job Planning'!$L114="",0,_xlpm.pending))</f>
        <v>4</v>
      </c>
      <c r="N114" s="7">
        <f>_xlfn.LET(_xlpm.pending,LEN('Job Planning'!$L114)-LEN(SUBSTITUTE('Job Planning'!$L114,",",""))+1,IF('Job Planning'!$L114="",0,_xlpm.pending))</f>
        <v>0</v>
      </c>
      <c r="O114" s="7">
        <f>SUM('Job Planning'!$P114:$Q114)</f>
        <v>0</v>
      </c>
      <c r="P114" s="7">
        <f>COUNTIFS('Defect List'!C:C,'Job Planning'!G114,'Defect List'!B:B,"Outstanding",'Defect List'!G:G,"Major")</f>
        <v>0</v>
      </c>
      <c r="Q114" s="7">
        <f>COUNTIFS('Defect List'!C:C,'Job Planning'!G114,'Defect List'!B:B,"Outstanding",'Defect List'!G:G,"Minor")</f>
        <v>0</v>
      </c>
      <c r="R114" s="8" t="str" cm="1">
        <f t="array" ref="R114">_xlfn.TEXTJOIN("
",TRUE,_xlfn._xlws.FILTER('Outstanding Defect (PQ)'!G:G,'Outstanding Defect (PQ)'!B:B='Job Planning'!G114,""))</f>
        <v/>
      </c>
      <c r="S114" s="3"/>
      <c r="T114" s="30" t="str">
        <f>_xlfn.TEXTAFTER(G114,"-",-2)</f>
        <v>MECH-4361</v>
      </c>
      <c r="U114" s="1" t="str">
        <f>IF(_xlfn.XLOOKUP('Job Planning'!$G114,Search!B:B,Search!C:C,"",0)="","",_xlfn.XLOOKUP('Job Planning'!$G114,Search!B:B,Search!C:C,"",0))</f>
        <v/>
      </c>
      <c r="V114" s="1" t="str">
        <f>_xlfn.XLOOKUP('Job Planning'!$T114,Search!A:A,Search!C:C,"",0)</f>
        <v/>
      </c>
      <c r="W114" s="1" t="str">
        <f>_xlfn.XLOOKUP('Job Planning'!$B114,Search!B:B,Search!C:C,"",0)</f>
        <v/>
      </c>
    </row>
    <row r="115" spans="1:23" ht="14.4">
      <c r="A115" s="7" t="s">
        <v>19</v>
      </c>
      <c r="B115" s="7" t="s">
        <v>37</v>
      </c>
      <c r="C115" s="7" t="s">
        <v>8</v>
      </c>
      <c r="D115" s="6" t="str">
        <f>IF(AND('Job Planning'!$L115="",'Job Planning'!$O115=0)=TRUE,"Can Close","Can't")</f>
        <v>Can Close</v>
      </c>
      <c r="E115" s="6" t="str">
        <f>_xlfn.TEXTJOIN(", ",TRUE,IF(N115=0,"","Inspection"),IF('Job Planning'!$O115=0,"","Defect"))</f>
        <v/>
      </c>
      <c r="F115" s="21"/>
      <c r="G115" s="8" t="s">
        <v>397</v>
      </c>
      <c r="H115" s="7" t="s">
        <v>8</v>
      </c>
      <c r="I115" s="7" t="s">
        <v>8</v>
      </c>
      <c r="J115" s="7" t="s">
        <v>8</v>
      </c>
      <c r="K115" s="7" t="s">
        <v>8</v>
      </c>
      <c r="L115" s="19" t="str">
        <f>_xlfn.TEXTJOIN(", ",TRUE,
IF(ISNUMBER(MATCH('Job Planning'!$H115,{"To Be Signed","Started","Awaiting RFI","Outstanding","RFI Scheduled"},0)),"Stage 1",""),
IF(ISNUMBER(MATCH('Job Planning'!$I115,{"To Be Signed","Started","Awaiting RFI","Outstanding","RFI Scheduled"},0)),"Stage 2",""),
IF(ISNUMBER(MATCH('Job Planning'!$J115,{"To Be Signed","Started","Awaiting RFI","Outstanding","RFI Scheduled"},0)),"Stage 3",""),
IF(ISNUMBER(MATCH('Job Planning'!$K115,{"To Be Signed","Started","Awaiting RFI","Outstanding","RFI Scheduled"},0)),"Stage 4",""))</f>
        <v/>
      </c>
      <c r="M115" s="7">
        <f>4-COUNTIF('Job Planning'!$H115:$K115,"N/A")-_xlfn.LET(_xlpm.pending,LEN('Job Planning'!$L115)-LEN(SUBSTITUTE('Job Planning'!$L115,",",""))+1,IF('Job Planning'!$L115="",0,_xlpm.pending))</f>
        <v>4</v>
      </c>
      <c r="N115" s="7">
        <f>_xlfn.LET(_xlpm.pending,LEN('Job Planning'!$L115)-LEN(SUBSTITUTE('Job Planning'!$L115,",",""))+1,IF('Job Planning'!$L115="",0,_xlpm.pending))</f>
        <v>0</v>
      </c>
      <c r="O115" s="7">
        <f>SUM('Job Planning'!$P115:$Q115)</f>
        <v>0</v>
      </c>
      <c r="P115" s="7">
        <f>COUNTIFS('Defect List'!C:C,'Job Planning'!G115,'Defect List'!B:B,"Outstanding",'Defect List'!G:G,"Major")</f>
        <v>0</v>
      </c>
      <c r="Q115" s="7">
        <f>COUNTIFS('Defect List'!C:C,'Job Planning'!G115,'Defect List'!B:B,"Outstanding",'Defect List'!G:G,"Minor")</f>
        <v>0</v>
      </c>
      <c r="R115" s="8" t="str" cm="1">
        <f t="array" ref="R115">_xlfn.TEXTJOIN("
",TRUE,_xlfn._xlws.FILTER('Outstanding Defect (PQ)'!G:G,'Outstanding Defect (PQ)'!B:B='Job Planning'!G115,""))</f>
        <v/>
      </c>
      <c r="S115" s="3"/>
      <c r="T115" s="30" t="str">
        <f>_xlfn.TEXTAFTER(G115,"-",-2)</f>
        <v>MECH-4360</v>
      </c>
      <c r="U115" s="1" t="str">
        <f>IF(_xlfn.XLOOKUP('Job Planning'!$G115,Search!B:B,Search!C:C,"",0)="","",_xlfn.XLOOKUP('Job Planning'!$G115,Search!B:B,Search!C:C,"",0))</f>
        <v/>
      </c>
      <c r="V115" s="1" t="str">
        <f>_xlfn.XLOOKUP('Job Planning'!$T115,Search!A:A,Search!C:C,"",0)</f>
        <v/>
      </c>
      <c r="W115" s="1" t="str">
        <f>_xlfn.XLOOKUP('Job Planning'!$B115,Search!B:B,Search!C:C,"",0)</f>
        <v/>
      </c>
    </row>
    <row r="116" spans="1:23" ht="14.4">
      <c r="A116" s="14" t="s">
        <v>6</v>
      </c>
      <c r="B116" s="14" t="s">
        <v>38</v>
      </c>
      <c r="C116" s="14" t="s">
        <v>7</v>
      </c>
      <c r="D116" s="13" t="str">
        <f>IF(AND('Job Planning'!$L116="",'Job Planning'!$O116=0)=TRUE,"Can Close","Can't")</f>
        <v>Can't</v>
      </c>
      <c r="E116" s="13" t="str">
        <f>_xlfn.TEXTJOIN(", ",TRUE,IF(N116=0,"","Inspection"),IF('Job Planning'!$O116=0,"","Defect"))</f>
        <v>Inspection</v>
      </c>
      <c r="F116" s="22" t="s">
        <v>177</v>
      </c>
      <c r="G116" s="15" t="s">
        <v>398</v>
      </c>
      <c r="H116" s="14" t="s">
        <v>8</v>
      </c>
      <c r="I116" s="14" t="s">
        <v>8</v>
      </c>
      <c r="J116" s="14" t="s">
        <v>7</v>
      </c>
      <c r="K116" s="14" t="s">
        <v>7</v>
      </c>
      <c r="L116" s="20" t="str">
        <f>_xlfn.TEXTJOIN(", ",TRUE,
IF(ISNUMBER(MATCH('Job Planning'!$H116,{"To Be Signed","Started","Awaiting RFI","Outstanding","RFI Scheduled"},0)),"Stage 1",""),
IF(ISNUMBER(MATCH('Job Planning'!$I116,{"To Be Signed","Started","Awaiting RFI","Outstanding","RFI Scheduled"},0)),"Stage 2",""),
IF(ISNUMBER(MATCH('Job Planning'!$J116,{"To Be Signed","Started","Awaiting RFI","Outstanding","RFI Scheduled"},0)),"Stage 3",""),
IF(ISNUMBER(MATCH('Job Planning'!$K116,{"To Be Signed","Started","Awaiting RFI","Outstanding","RFI Scheduled"},0)),"Stage 4",""))</f>
        <v>Stage 3, Stage 4</v>
      </c>
      <c r="M116" s="14">
        <f>4-COUNTIF('Job Planning'!$H116:$K116,"N/A")-_xlfn.LET(_xlpm.pending,LEN('Job Planning'!$L116)-LEN(SUBSTITUTE('Job Planning'!$L116,",",""))+1,IF('Job Planning'!$L116="",0,_xlpm.pending))</f>
        <v>2</v>
      </c>
      <c r="N116" s="14">
        <f>_xlfn.LET(_xlpm.pending,LEN('Job Planning'!$L116)-LEN(SUBSTITUTE('Job Planning'!$L116,",",""))+1,IF('Job Planning'!$L116="",0,_xlpm.pending))</f>
        <v>2</v>
      </c>
      <c r="O116" s="14">
        <f>SUM('Job Planning'!$P116:$Q116)</f>
        <v>0</v>
      </c>
      <c r="P116" s="14">
        <f>COUNTIFS('Defect List'!C:C,'Job Planning'!G116,'Defect List'!B:B,"Outstanding",'Defect List'!G:G,"Major")</f>
        <v>0</v>
      </c>
      <c r="Q116" s="14">
        <f>COUNTIFS('Defect List'!C:C,'Job Planning'!G116,'Defect List'!B:B,"Outstanding",'Defect List'!G:G,"Minor")</f>
        <v>0</v>
      </c>
      <c r="R116" s="15" t="str" cm="1">
        <f t="array" ref="R116">_xlfn.TEXTJOIN("
",TRUE,_xlfn._xlws.FILTER('Outstanding Defect (PQ)'!G:G,'Outstanding Defect (PQ)'!B:B='Job Planning'!G116,""))</f>
        <v/>
      </c>
      <c r="S116" s="23">
        <v>46910</v>
      </c>
      <c r="T116" s="30" t="str">
        <f>_xlfn.TEXTAFTER(G116,"-",-2)</f>
        <v>SAF-4365</v>
      </c>
      <c r="U116" s="1" t="str">
        <f>IF(_xlfn.XLOOKUP('Job Planning'!$G116,Search!B:B,Search!C:C,"",0)="","",_xlfn.XLOOKUP('Job Planning'!$G116,Search!B:B,Search!C:C,"",0))</f>
        <v/>
      </c>
      <c r="V116" s="1" t="str">
        <f>_xlfn.XLOOKUP('Job Planning'!$T116,Search!A:A,Search!C:C,"",0)</f>
        <v/>
      </c>
      <c r="W116" s="1" t="str">
        <f>_xlfn.XLOOKUP('Job Planning'!$B116,Search!B:B,Search!C:C,"",0)</f>
        <v/>
      </c>
    </row>
    <row r="117" spans="1:23" ht="14.4">
      <c r="A117" s="7" t="s">
        <v>19</v>
      </c>
      <c r="B117" s="7" t="s">
        <v>39</v>
      </c>
      <c r="C117" s="7" t="s">
        <v>8</v>
      </c>
      <c r="D117" s="6" t="str">
        <f>IF(AND('Job Planning'!$L117="",'Job Planning'!$O117=0)=TRUE,"Can Close","Can't")</f>
        <v>Can Close</v>
      </c>
      <c r="E117" s="6" t="str">
        <f>_xlfn.TEXTJOIN(", ",TRUE,IF(N117=0,"","Inspection"),IF('Job Planning'!$O117=0,"","Defect"))</f>
        <v/>
      </c>
      <c r="F117" s="21"/>
      <c r="G117" s="8" t="s">
        <v>399</v>
      </c>
      <c r="H117" s="7" t="s">
        <v>8</v>
      </c>
      <c r="I117" s="7" t="s">
        <v>8</v>
      </c>
      <c r="J117" s="7" t="s">
        <v>8</v>
      </c>
      <c r="K117" s="7" t="s">
        <v>8</v>
      </c>
      <c r="L117" s="19" t="str">
        <f>_xlfn.TEXTJOIN(", ",TRUE,
IF(ISNUMBER(MATCH('Job Planning'!$H117,{"To Be Signed","Started","Awaiting RFI","Outstanding","RFI Scheduled"},0)),"Stage 1",""),
IF(ISNUMBER(MATCH('Job Planning'!$I117,{"To Be Signed","Started","Awaiting RFI","Outstanding","RFI Scheduled"},0)),"Stage 2",""),
IF(ISNUMBER(MATCH('Job Planning'!$J117,{"To Be Signed","Started","Awaiting RFI","Outstanding","RFI Scheduled"},0)),"Stage 3",""),
IF(ISNUMBER(MATCH('Job Planning'!$K117,{"To Be Signed","Started","Awaiting RFI","Outstanding","RFI Scheduled"},0)),"Stage 4",""))</f>
        <v/>
      </c>
      <c r="M117" s="7">
        <f>4-COUNTIF('Job Planning'!$H117:$K117,"N/A")-_xlfn.LET(_xlpm.pending,LEN('Job Planning'!$L117)-LEN(SUBSTITUTE('Job Planning'!$L117,",",""))+1,IF('Job Planning'!$L117="",0,_xlpm.pending))</f>
        <v>4</v>
      </c>
      <c r="N117" s="7">
        <f>_xlfn.LET(_xlpm.pending,LEN('Job Planning'!$L117)-LEN(SUBSTITUTE('Job Planning'!$L117,",",""))+1,IF('Job Planning'!$L117="",0,_xlpm.pending))</f>
        <v>0</v>
      </c>
      <c r="O117" s="7">
        <f>SUM('Job Planning'!$P117:$Q117)</f>
        <v>0</v>
      </c>
      <c r="P117" s="7">
        <f>COUNTIFS('Defect List'!C:C,'Job Planning'!G117,'Defect List'!B:B,"Outstanding",'Defect List'!G:G,"Major")</f>
        <v>0</v>
      </c>
      <c r="Q117" s="7">
        <f>COUNTIFS('Defect List'!C:C,'Job Planning'!G117,'Defect List'!B:B,"Outstanding",'Defect List'!G:G,"Minor")</f>
        <v>0</v>
      </c>
      <c r="R117" s="8" t="str" cm="1">
        <f t="array" ref="R117">_xlfn.TEXTJOIN("
",TRUE,_xlfn._xlws.FILTER('Outstanding Defect (PQ)'!G:G,'Outstanding Defect (PQ)'!B:B='Job Planning'!G117,""))</f>
        <v/>
      </c>
      <c r="S117" s="3"/>
      <c r="T117" s="30" t="str">
        <f>_xlfn.TEXTAFTER(G117,"-",-2)</f>
        <v>QA-4364</v>
      </c>
      <c r="U117" s="1" t="str">
        <f>IF(_xlfn.XLOOKUP('Job Planning'!$G117,Search!B:B,Search!C:C,"",0)="","",_xlfn.XLOOKUP('Job Planning'!$G117,Search!B:B,Search!C:C,"",0))</f>
        <v/>
      </c>
      <c r="V117" s="1" t="str">
        <f>_xlfn.XLOOKUP('Job Planning'!$T117,Search!A:A,Search!C:C,"",0)</f>
        <v/>
      </c>
      <c r="W117" s="1" t="str">
        <f>_xlfn.XLOOKUP('Job Planning'!$B117,Search!B:B,Search!C:C,"",0)</f>
        <v/>
      </c>
    </row>
    <row r="118" spans="1:23" ht="14.4">
      <c r="A118" s="7" t="s">
        <v>19</v>
      </c>
      <c r="B118" s="7" t="s">
        <v>40</v>
      </c>
      <c r="C118" s="7" t="s">
        <v>8</v>
      </c>
      <c r="D118" s="6" t="str">
        <f>IF(AND('Job Planning'!$L118="",'Job Planning'!$O118=0)=TRUE,"Can Close","Can't")</f>
        <v>Can Close</v>
      </c>
      <c r="E118" s="6" t="str">
        <f>_xlfn.TEXTJOIN(", ",TRUE,IF(N118=0,"","Inspection"),IF('Job Planning'!$O118=0,"","Defect"))</f>
        <v/>
      </c>
      <c r="F118" s="21"/>
      <c r="G118" s="8" t="s">
        <v>400</v>
      </c>
      <c r="H118" s="7" t="s">
        <v>8</v>
      </c>
      <c r="I118" s="7" t="s">
        <v>8</v>
      </c>
      <c r="J118" s="7" t="s">
        <v>8</v>
      </c>
      <c r="K118" s="7" t="s">
        <v>8</v>
      </c>
      <c r="L118" s="19" t="str">
        <f>_xlfn.TEXTJOIN(", ",TRUE,
IF(ISNUMBER(MATCH('Job Planning'!$H118,{"To Be Signed","Started","Awaiting RFI","Outstanding","RFI Scheduled"},0)),"Stage 1",""),
IF(ISNUMBER(MATCH('Job Planning'!$I118,{"To Be Signed","Started","Awaiting RFI","Outstanding","RFI Scheduled"},0)),"Stage 2",""),
IF(ISNUMBER(MATCH('Job Planning'!$J118,{"To Be Signed","Started","Awaiting RFI","Outstanding","RFI Scheduled"},0)),"Stage 3",""),
IF(ISNUMBER(MATCH('Job Planning'!$K118,{"To Be Signed","Started","Awaiting RFI","Outstanding","RFI Scheduled"},0)),"Stage 4",""))</f>
        <v/>
      </c>
      <c r="M118" s="7">
        <f>4-COUNTIF('Job Planning'!$H118:$K118,"N/A")-_xlfn.LET(_xlpm.pending,LEN('Job Planning'!$L118)-LEN(SUBSTITUTE('Job Planning'!$L118,",",""))+1,IF('Job Planning'!$L118="",0,_xlpm.pending))</f>
        <v>4</v>
      </c>
      <c r="N118" s="7">
        <f>_xlfn.LET(_xlpm.pending,LEN('Job Planning'!$L118)-LEN(SUBSTITUTE('Job Planning'!$L118,",",""))+1,IF('Job Planning'!$L118="",0,_xlpm.pending))</f>
        <v>0</v>
      </c>
      <c r="O118" s="7">
        <f>SUM('Job Planning'!$P118:$Q118)</f>
        <v>0</v>
      </c>
      <c r="P118" s="7">
        <f>COUNTIFS('Defect List'!C:C,'Job Planning'!G118,'Defect List'!B:B,"Outstanding",'Defect List'!G:G,"Major")</f>
        <v>0</v>
      </c>
      <c r="Q118" s="7">
        <f>COUNTIFS('Defect List'!C:C,'Job Planning'!G118,'Defect List'!B:B,"Outstanding",'Defect List'!G:G,"Minor")</f>
        <v>0</v>
      </c>
      <c r="R118" s="8" t="str" cm="1">
        <f t="array" ref="R118">_xlfn.TEXTJOIN("
",TRUE,_xlfn._xlws.FILTER('Outstanding Defect (PQ)'!G:G,'Outstanding Defect (PQ)'!B:B='Job Planning'!G118,""))</f>
        <v/>
      </c>
      <c r="S118" s="3"/>
      <c r="T118" s="30" t="str">
        <f>_xlfn.TEXTAFTER(G118,"-",-2)</f>
        <v>INS-4363</v>
      </c>
      <c r="U118" s="1" t="str">
        <f>IF(_xlfn.XLOOKUP('Job Planning'!$G118,Search!B:B,Search!C:C,"",0)="","",_xlfn.XLOOKUP('Job Planning'!$G118,Search!B:B,Search!C:C,"",0))</f>
        <v/>
      </c>
      <c r="V118" s="1" t="str">
        <f>_xlfn.XLOOKUP('Job Planning'!$T118,Search!A:A,Search!C:C,"",0)</f>
        <v/>
      </c>
      <c r="W118" s="1" t="str">
        <f>_xlfn.XLOOKUP('Job Planning'!$B118,Search!B:B,Search!C:C,"",0)</f>
        <v/>
      </c>
    </row>
    <row r="119" spans="1:23" ht="14.4">
      <c r="A119" s="7" t="s">
        <v>19</v>
      </c>
      <c r="B119" s="7" t="s">
        <v>41</v>
      </c>
      <c r="C119" s="7" t="s">
        <v>8</v>
      </c>
      <c r="D119" s="6" t="str">
        <f>IF(AND('Job Planning'!$L119="",'Job Planning'!$O119=0)=TRUE,"Can Close","Can't")</f>
        <v>Can Close</v>
      </c>
      <c r="E119" s="6" t="str">
        <f>_xlfn.TEXTJOIN(", ",TRUE,IF(N119=0,"","Inspection"),IF('Job Planning'!$O119=0,"","Defect"))</f>
        <v/>
      </c>
      <c r="F119" s="21"/>
      <c r="G119" s="8" t="s">
        <v>401</v>
      </c>
      <c r="H119" s="7" t="s">
        <v>8</v>
      </c>
      <c r="I119" s="7" t="s">
        <v>8</v>
      </c>
      <c r="J119" s="7" t="s">
        <v>8</v>
      </c>
      <c r="K119" s="7" t="s">
        <v>8</v>
      </c>
      <c r="L119" s="19" t="str">
        <f>_xlfn.TEXTJOIN(", ",TRUE,
IF(ISNUMBER(MATCH('Job Planning'!$H119,{"To Be Signed","Started","Awaiting RFI","Outstanding","RFI Scheduled"},0)),"Stage 1",""),
IF(ISNUMBER(MATCH('Job Planning'!$I119,{"To Be Signed","Started","Awaiting RFI","Outstanding","RFI Scheduled"},0)),"Stage 2",""),
IF(ISNUMBER(MATCH('Job Planning'!$J119,{"To Be Signed","Started","Awaiting RFI","Outstanding","RFI Scheduled"},0)),"Stage 3",""),
IF(ISNUMBER(MATCH('Job Planning'!$K119,{"To Be Signed","Started","Awaiting RFI","Outstanding","RFI Scheduled"},0)),"Stage 4",""))</f>
        <v/>
      </c>
      <c r="M119" s="7">
        <f>4-COUNTIF('Job Planning'!$H119:$K119,"N/A")-_xlfn.LET(_xlpm.pending,LEN('Job Planning'!$L119)-LEN(SUBSTITUTE('Job Planning'!$L119,",",""))+1,IF('Job Planning'!$L119="",0,_xlpm.pending))</f>
        <v>4</v>
      </c>
      <c r="N119" s="7">
        <f>_xlfn.LET(_xlpm.pending,LEN('Job Planning'!$L119)-LEN(SUBSTITUTE('Job Planning'!$L119,",",""))+1,IF('Job Planning'!$L119="",0,_xlpm.pending))</f>
        <v>0</v>
      </c>
      <c r="O119" s="7">
        <f>SUM('Job Planning'!$P119:$Q119)</f>
        <v>0</v>
      </c>
      <c r="P119" s="7">
        <f>COUNTIFS('Defect List'!C:C,'Job Planning'!G119,'Defect List'!B:B,"Outstanding",'Defect List'!G:G,"Major")</f>
        <v>0</v>
      </c>
      <c r="Q119" s="7">
        <f>COUNTIFS('Defect List'!C:C,'Job Planning'!G119,'Defect List'!B:B,"Outstanding",'Defect List'!G:G,"Minor")</f>
        <v>0</v>
      </c>
      <c r="R119" s="8" t="str" cm="1">
        <f t="array" ref="R119">_xlfn.TEXTJOIN("
",TRUE,_xlfn._xlws.FILTER('Outstanding Defect (PQ)'!G:G,'Outstanding Defect (PQ)'!B:B='Job Planning'!G119,""))</f>
        <v/>
      </c>
      <c r="S119" s="3"/>
      <c r="T119" s="30" t="str">
        <f>_xlfn.TEXTAFTER(G119,"-",-2)</f>
        <v>INS-4362</v>
      </c>
      <c r="U119" s="1" t="str">
        <f>IF(_xlfn.XLOOKUP('Job Planning'!$G119,Search!B:B,Search!C:C,"",0)="","",_xlfn.XLOOKUP('Job Planning'!$G119,Search!B:B,Search!C:C,"",0))</f>
        <v/>
      </c>
      <c r="V119" s="1" t="str">
        <f>_xlfn.XLOOKUP('Job Planning'!$T119,Search!A:A,Search!C:C,"",0)</f>
        <v/>
      </c>
      <c r="W119" s="1" t="str">
        <f>_xlfn.XLOOKUP('Job Planning'!$B119,Search!B:B,Search!C:C,"",0)</f>
        <v/>
      </c>
    </row>
    <row r="120" spans="1:23" ht="14.4">
      <c r="A120" s="7" t="s">
        <v>19</v>
      </c>
      <c r="B120" s="7" t="s">
        <v>42</v>
      </c>
      <c r="C120" s="7" t="s">
        <v>8</v>
      </c>
      <c r="D120" s="6" t="str">
        <f>IF(AND('Job Planning'!$L120="",'Job Planning'!$O120=0)=TRUE,"Can Close","Can't")</f>
        <v>Can Close</v>
      </c>
      <c r="E120" s="6" t="str">
        <f>_xlfn.TEXTJOIN(", ",TRUE,IF(N120=0,"","Inspection"),IF('Job Planning'!$O120=0,"","Defect"))</f>
        <v/>
      </c>
      <c r="F120" s="21"/>
      <c r="G120" s="8" t="s">
        <v>402</v>
      </c>
      <c r="H120" s="7" t="s">
        <v>8</v>
      </c>
      <c r="I120" s="7" t="s">
        <v>8</v>
      </c>
      <c r="J120" s="7" t="s">
        <v>8</v>
      </c>
      <c r="K120" s="7" t="s">
        <v>8</v>
      </c>
      <c r="L120" s="19" t="str">
        <f>_xlfn.TEXTJOIN(", ",TRUE,
IF(ISNUMBER(MATCH('Job Planning'!$H120,{"To Be Signed","Started","Awaiting RFI","Outstanding","RFI Scheduled"},0)),"Stage 1",""),
IF(ISNUMBER(MATCH('Job Planning'!$I120,{"To Be Signed","Started","Awaiting RFI","Outstanding","RFI Scheduled"},0)),"Stage 2",""),
IF(ISNUMBER(MATCH('Job Planning'!$J120,{"To Be Signed","Started","Awaiting RFI","Outstanding","RFI Scheduled"},0)),"Stage 3",""),
IF(ISNUMBER(MATCH('Job Planning'!$K120,{"To Be Signed","Started","Awaiting RFI","Outstanding","RFI Scheduled"},0)),"Stage 4",""))</f>
        <v/>
      </c>
      <c r="M120" s="7">
        <f>4-COUNTIF('Job Planning'!$H120:$K120,"N/A")-_xlfn.LET(_xlpm.pending,LEN('Job Planning'!$L120)-LEN(SUBSTITUTE('Job Planning'!$L120,",",""))+1,IF('Job Planning'!$L120="",0,_xlpm.pending))</f>
        <v>4</v>
      </c>
      <c r="N120" s="7">
        <f>_xlfn.LET(_xlpm.pending,LEN('Job Planning'!$L120)-LEN(SUBSTITUTE('Job Planning'!$L120,",",""))+1,IF('Job Planning'!$L120="",0,_xlpm.pending))</f>
        <v>0</v>
      </c>
      <c r="O120" s="7">
        <f>SUM('Job Planning'!$P120:$Q120)</f>
        <v>0</v>
      </c>
      <c r="P120" s="7">
        <f>COUNTIFS('Defect List'!C:C,'Job Planning'!G120,'Defect List'!B:B,"Outstanding",'Defect List'!G:G,"Major")</f>
        <v>0</v>
      </c>
      <c r="Q120" s="7">
        <f>COUNTIFS('Defect List'!C:C,'Job Planning'!G120,'Defect List'!B:B,"Outstanding",'Defect List'!G:G,"Minor")</f>
        <v>0</v>
      </c>
      <c r="R120" s="8" t="str" cm="1">
        <f t="array" ref="R120">_xlfn.TEXTJOIN("
",TRUE,_xlfn._xlws.FILTER('Outstanding Defect (PQ)'!G:G,'Outstanding Defect (PQ)'!B:B='Job Planning'!G120,""))</f>
        <v/>
      </c>
      <c r="S120" s="3"/>
      <c r="T120" s="30" t="str">
        <f>_xlfn.TEXTAFTER(G120,"-",-2)</f>
        <v>DRN-4359</v>
      </c>
      <c r="U120" s="1" t="str">
        <f>IF(_xlfn.XLOOKUP('Job Planning'!$G120,Search!B:B,Search!C:C,"",0)="","",_xlfn.XLOOKUP('Job Planning'!$G120,Search!B:B,Search!C:C,"",0))</f>
        <v/>
      </c>
      <c r="V120" s="1" t="str">
        <f>_xlfn.XLOOKUP('Job Planning'!$T120,Search!A:A,Search!C:C,"",0)</f>
        <v/>
      </c>
      <c r="W120" s="1" t="str">
        <f>_xlfn.XLOOKUP('Job Planning'!$B120,Search!B:B,Search!C:C,"",0)</f>
        <v/>
      </c>
    </row>
    <row r="121" spans="1:23" ht="14.4">
      <c r="A121" s="7" t="s">
        <v>19</v>
      </c>
      <c r="B121" s="7" t="s">
        <v>43</v>
      </c>
      <c r="C121" s="7" t="s">
        <v>8</v>
      </c>
      <c r="D121" s="6" t="str">
        <f>IF(AND('Job Planning'!$L121="",'Job Planning'!$O121=0)=TRUE,"Can Close","Can't")</f>
        <v>Can Close</v>
      </c>
      <c r="E121" s="6" t="str">
        <f>_xlfn.TEXTJOIN(", ",TRUE,IF(N121=0,"","Inspection"),IF('Job Planning'!$O121=0,"","Defect"))</f>
        <v/>
      </c>
      <c r="F121" s="21"/>
      <c r="G121" s="8" t="s">
        <v>403</v>
      </c>
      <c r="H121" s="7" t="s">
        <v>8</v>
      </c>
      <c r="I121" s="7" t="s">
        <v>8</v>
      </c>
      <c r="J121" s="7" t="s">
        <v>8</v>
      </c>
      <c r="K121" s="7" t="s">
        <v>8</v>
      </c>
      <c r="L121" s="19" t="str">
        <f>_xlfn.TEXTJOIN(", ",TRUE,
IF(ISNUMBER(MATCH('Job Planning'!$H121,{"To Be Signed","Started","Awaiting RFI","Outstanding","RFI Scheduled"},0)),"Stage 1",""),
IF(ISNUMBER(MATCH('Job Planning'!$I121,{"To Be Signed","Started","Awaiting RFI","Outstanding","RFI Scheduled"},0)),"Stage 2",""),
IF(ISNUMBER(MATCH('Job Planning'!$J121,{"To Be Signed","Started","Awaiting RFI","Outstanding","RFI Scheduled"},0)),"Stage 3",""),
IF(ISNUMBER(MATCH('Job Planning'!$K121,{"To Be Signed","Started","Awaiting RFI","Outstanding","RFI Scheduled"},0)),"Stage 4",""))</f>
        <v/>
      </c>
      <c r="M121" s="7">
        <f>4-COUNTIF('Job Planning'!$H121:$K121,"N/A")-_xlfn.LET(_xlpm.pending,LEN('Job Planning'!$L121)-LEN(SUBSTITUTE('Job Planning'!$L121,",",""))+1,IF('Job Planning'!$L121="",0,_xlpm.pending))</f>
        <v>4</v>
      </c>
      <c r="N121" s="7">
        <f>_xlfn.LET(_xlpm.pending,LEN('Job Planning'!$L121)-LEN(SUBSTITUTE('Job Planning'!$L121,",",""))+1,IF('Job Planning'!$L121="",0,_xlpm.pending))</f>
        <v>0</v>
      </c>
      <c r="O121" s="7">
        <f>SUM('Job Planning'!$P121:$Q121)</f>
        <v>0</v>
      </c>
      <c r="P121" s="7">
        <f>COUNTIFS('Defect List'!C:C,'Job Planning'!G121,'Defect List'!B:B,"Outstanding",'Defect List'!G:G,"Major")</f>
        <v>0</v>
      </c>
      <c r="Q121" s="7">
        <f>COUNTIFS('Defect List'!C:C,'Job Planning'!G121,'Defect List'!B:B,"Outstanding",'Defect List'!G:G,"Minor")</f>
        <v>0</v>
      </c>
      <c r="R121" s="8" t="str" cm="1">
        <f t="array" ref="R121">_xlfn.TEXTJOIN("
",TRUE,_xlfn._xlws.FILTER('Outstanding Defect (PQ)'!G:G,'Outstanding Defect (PQ)'!B:B='Job Planning'!G121,""))</f>
        <v/>
      </c>
      <c r="S121" s="3"/>
      <c r="T121" s="30" t="str">
        <f>_xlfn.TEXTAFTER(G121,"-",-2)</f>
        <v>DRN-4357</v>
      </c>
      <c r="U121" s="1" t="str">
        <f>IF(_xlfn.XLOOKUP('Job Planning'!$G121,Search!B:B,Search!C:C,"",0)="","",_xlfn.XLOOKUP('Job Planning'!$G121,Search!B:B,Search!C:C,"",0))</f>
        <v/>
      </c>
      <c r="V121" s="1" t="str">
        <f>_xlfn.XLOOKUP('Job Planning'!$T121,Search!A:A,Search!C:C,"",0)</f>
        <v/>
      </c>
      <c r="W121" s="1" t="str">
        <f>_xlfn.XLOOKUP('Job Planning'!$B121,Search!B:B,Search!C:C,"",0)</f>
        <v/>
      </c>
    </row>
    <row r="122" spans="1:23" ht="14.4">
      <c r="A122" s="7" t="s">
        <v>19</v>
      </c>
      <c r="B122" s="7" t="s">
        <v>44</v>
      </c>
      <c r="C122" s="7" t="s">
        <v>8</v>
      </c>
      <c r="D122" s="6" t="str">
        <f>IF(AND('Job Planning'!$L122="",'Job Planning'!$O122=0)=TRUE,"Can Close","Can't")</f>
        <v>Can Close</v>
      </c>
      <c r="E122" s="6" t="str">
        <f>_xlfn.TEXTJOIN(", ",TRUE,IF(N122=0,"","Inspection"),IF('Job Planning'!$O122=0,"","Defect"))</f>
        <v/>
      </c>
      <c r="F122" s="21"/>
      <c r="G122" s="8" t="s">
        <v>404</v>
      </c>
      <c r="H122" s="7" t="s">
        <v>8</v>
      </c>
      <c r="I122" s="7" t="s">
        <v>8</v>
      </c>
      <c r="J122" s="7" t="s">
        <v>8</v>
      </c>
      <c r="K122" s="7" t="s">
        <v>8</v>
      </c>
      <c r="L122" s="19" t="str">
        <f>_xlfn.TEXTJOIN(", ",TRUE,
IF(ISNUMBER(MATCH('Job Planning'!$H122,{"To Be Signed","Started","Awaiting RFI","Outstanding","RFI Scheduled"},0)),"Stage 1",""),
IF(ISNUMBER(MATCH('Job Planning'!$I122,{"To Be Signed","Started","Awaiting RFI","Outstanding","RFI Scheduled"},0)),"Stage 2",""),
IF(ISNUMBER(MATCH('Job Planning'!$J122,{"To Be Signed","Started","Awaiting RFI","Outstanding","RFI Scheduled"},0)),"Stage 3",""),
IF(ISNUMBER(MATCH('Job Planning'!$K122,{"To Be Signed","Started","Awaiting RFI","Outstanding","RFI Scheduled"},0)),"Stage 4",""))</f>
        <v/>
      </c>
      <c r="M122" s="7">
        <f>4-COUNTIF('Job Planning'!$H122:$K122,"N/A")-_xlfn.LET(_xlpm.pending,LEN('Job Planning'!$L122)-LEN(SUBSTITUTE('Job Planning'!$L122,",",""))+1,IF('Job Planning'!$L122="",0,_xlpm.pending))</f>
        <v>4</v>
      </c>
      <c r="N122" s="7">
        <f>_xlfn.LET(_xlpm.pending,LEN('Job Planning'!$L122)-LEN(SUBSTITUTE('Job Planning'!$L122,",",""))+1,IF('Job Planning'!$L122="",0,_xlpm.pending))</f>
        <v>0</v>
      </c>
      <c r="O122" s="7">
        <f>SUM('Job Planning'!$P122:$Q122)</f>
        <v>0</v>
      </c>
      <c r="P122" s="7">
        <f>COUNTIFS('Defect List'!C:C,'Job Planning'!G122,'Defect List'!B:B,"Outstanding",'Defect List'!G:G,"Major")</f>
        <v>0</v>
      </c>
      <c r="Q122" s="7">
        <f>COUNTIFS('Defect List'!C:C,'Job Planning'!G122,'Defect List'!B:B,"Outstanding",'Defect List'!G:G,"Minor")</f>
        <v>0</v>
      </c>
      <c r="R122" s="8" t="str" cm="1">
        <f t="array" ref="R122">_xlfn.TEXTJOIN("
",TRUE,_xlfn._xlws.FILTER('Outstanding Defect (PQ)'!G:G,'Outstanding Defect (PQ)'!B:B='Job Planning'!G122,""))</f>
        <v/>
      </c>
      <c r="S122" s="3"/>
      <c r="T122" s="30" t="str">
        <f>_xlfn.TEXTAFTER(G122,"-",-2)</f>
        <v>LIFT-4356</v>
      </c>
      <c r="U122" s="1" t="str">
        <f>IF(_xlfn.XLOOKUP('Job Planning'!$G122,Search!B:B,Search!C:C,"",0)="","",_xlfn.XLOOKUP('Job Planning'!$G122,Search!B:B,Search!C:C,"",0))</f>
        <v/>
      </c>
      <c r="V122" s="1" t="str">
        <f>_xlfn.XLOOKUP('Job Planning'!$T122,Search!A:A,Search!C:C,"",0)</f>
        <v/>
      </c>
      <c r="W122" s="1" t="str">
        <f>_xlfn.XLOOKUP('Job Planning'!$B122,Search!B:B,Search!C:C,"",0)</f>
        <v/>
      </c>
    </row>
    <row r="123" spans="1:23" ht="14.4">
      <c r="A123" s="7" t="s">
        <v>19</v>
      </c>
      <c r="B123" s="7" t="s">
        <v>45</v>
      </c>
      <c r="C123" s="7" t="s">
        <v>8</v>
      </c>
      <c r="D123" s="6" t="str">
        <f>IF(AND('Job Planning'!$L123="",'Job Planning'!$O123=0)=TRUE,"Can Close","Can't")</f>
        <v>Can Close</v>
      </c>
      <c r="E123" s="6" t="str">
        <f>_xlfn.TEXTJOIN(", ",TRUE,IF(N123=0,"","Inspection"),IF('Job Planning'!$O123=0,"","Defect"))</f>
        <v/>
      </c>
      <c r="F123" s="21"/>
      <c r="G123" s="8" t="s">
        <v>405</v>
      </c>
      <c r="H123" s="7" t="s">
        <v>8</v>
      </c>
      <c r="I123" s="7" t="s">
        <v>8</v>
      </c>
      <c r="J123" s="7" t="s">
        <v>8</v>
      </c>
      <c r="K123" s="7" t="s">
        <v>8</v>
      </c>
      <c r="L123" s="19" t="str">
        <f>_xlfn.TEXTJOIN(", ",TRUE,
IF(ISNUMBER(MATCH('Job Planning'!$H123,{"To Be Signed","Started","Awaiting RFI","Outstanding","RFI Scheduled"},0)),"Stage 1",""),
IF(ISNUMBER(MATCH('Job Planning'!$I123,{"To Be Signed","Started","Awaiting RFI","Outstanding","RFI Scheduled"},0)),"Stage 2",""),
IF(ISNUMBER(MATCH('Job Planning'!$J123,{"To Be Signed","Started","Awaiting RFI","Outstanding","RFI Scheduled"},0)),"Stage 3",""),
IF(ISNUMBER(MATCH('Job Planning'!$K123,{"To Be Signed","Started","Awaiting RFI","Outstanding","RFI Scheduled"},0)),"Stage 4",""))</f>
        <v/>
      </c>
      <c r="M123" s="7">
        <f>4-COUNTIF('Job Planning'!$H123:$K123,"N/A")-_xlfn.LET(_xlpm.pending,LEN('Job Planning'!$L123)-LEN(SUBSTITUTE('Job Planning'!$L123,",",""))+1,IF('Job Planning'!$L123="",0,_xlpm.pending))</f>
        <v>4</v>
      </c>
      <c r="N123" s="7">
        <f>_xlfn.LET(_xlpm.pending,LEN('Job Planning'!$L123)-LEN(SUBSTITUTE('Job Planning'!$L123,",",""))+1,IF('Job Planning'!$L123="",0,_xlpm.pending))</f>
        <v>0</v>
      </c>
      <c r="O123" s="7">
        <f>SUM('Job Planning'!$P123:$Q123)</f>
        <v>0</v>
      </c>
      <c r="P123" s="7">
        <f>COUNTIFS('Defect List'!C:C,'Job Planning'!G123,'Defect List'!B:B,"Outstanding",'Defect List'!G:G,"Major")</f>
        <v>0</v>
      </c>
      <c r="Q123" s="7">
        <f>COUNTIFS('Defect List'!C:C,'Job Planning'!G123,'Defect List'!B:B,"Outstanding",'Defect List'!G:G,"Minor")</f>
        <v>0</v>
      </c>
      <c r="R123" s="8" t="str" cm="1">
        <f t="array" ref="R123">_xlfn.TEXTJOIN("
",TRUE,_xlfn._xlws.FILTER('Outstanding Defect (PQ)'!G:G,'Outstanding Defect (PQ)'!B:B='Job Planning'!G123,""))</f>
        <v/>
      </c>
      <c r="S123" s="3"/>
      <c r="T123" s="30" t="str">
        <f>_xlfn.TEXTAFTER(G123,"-",-2)</f>
        <v>LIFT-4355</v>
      </c>
      <c r="U123" s="1" t="str">
        <f>IF(_xlfn.XLOOKUP('Job Planning'!$G123,Search!B:B,Search!C:C,"",0)="","",_xlfn.XLOOKUP('Job Planning'!$G123,Search!B:B,Search!C:C,"",0))</f>
        <v/>
      </c>
      <c r="V123" s="1" t="str">
        <f>_xlfn.XLOOKUP('Job Planning'!$T123,Search!A:A,Search!C:C,"",0)</f>
        <v/>
      </c>
      <c r="W123" s="1" t="str">
        <f>_xlfn.XLOOKUP('Job Planning'!$B123,Search!B:B,Search!C:C,"",0)</f>
        <v/>
      </c>
    </row>
    <row r="124" spans="1:23" ht="14.4">
      <c r="A124" s="7" t="s">
        <v>19</v>
      </c>
      <c r="B124" s="7" t="s">
        <v>46</v>
      </c>
      <c r="C124" s="7" t="s">
        <v>8</v>
      </c>
      <c r="D124" s="6" t="str">
        <f>IF(AND('Job Planning'!$L124="",'Job Planning'!$O124=0)=TRUE,"Can Close","Can't")</f>
        <v>Can Close</v>
      </c>
      <c r="E124" s="6" t="str">
        <f>_xlfn.TEXTJOIN(", ",TRUE,IF(N124=0,"","Inspection"),IF('Job Planning'!$O124=0,"","Defect"))</f>
        <v/>
      </c>
      <c r="F124" s="21"/>
      <c r="G124" s="8" t="s">
        <v>406</v>
      </c>
      <c r="H124" s="7" t="s">
        <v>8</v>
      </c>
      <c r="I124" s="7" t="s">
        <v>8</v>
      </c>
      <c r="J124" s="7" t="s">
        <v>8</v>
      </c>
      <c r="K124" s="7" t="s">
        <v>8</v>
      </c>
      <c r="L124" s="19" t="str">
        <f>_xlfn.TEXTJOIN(", ",TRUE,
IF(ISNUMBER(MATCH('Job Planning'!$H124,{"To Be Signed","Started","Awaiting RFI","Outstanding","RFI Scheduled"},0)),"Stage 1",""),
IF(ISNUMBER(MATCH('Job Planning'!$I124,{"To Be Signed","Started","Awaiting RFI","Outstanding","RFI Scheduled"},0)),"Stage 2",""),
IF(ISNUMBER(MATCH('Job Planning'!$J124,{"To Be Signed","Started","Awaiting RFI","Outstanding","RFI Scheduled"},0)),"Stage 3",""),
IF(ISNUMBER(MATCH('Job Planning'!$K124,{"To Be Signed","Started","Awaiting RFI","Outstanding","RFI Scheduled"},0)),"Stage 4",""))</f>
        <v/>
      </c>
      <c r="M124" s="7">
        <f>4-COUNTIF('Job Planning'!$H124:$K124,"N/A")-_xlfn.LET(_xlpm.pending,LEN('Job Planning'!$L124)-LEN(SUBSTITUTE('Job Planning'!$L124,",",""))+1,IF('Job Planning'!$L124="",0,_xlpm.pending))</f>
        <v>4</v>
      </c>
      <c r="N124" s="7">
        <f>_xlfn.LET(_xlpm.pending,LEN('Job Planning'!$L124)-LEN(SUBSTITUTE('Job Planning'!$L124,",",""))+1,IF('Job Planning'!$L124="",0,_xlpm.pending))</f>
        <v>0</v>
      </c>
      <c r="O124" s="7">
        <f>SUM('Job Planning'!$P124:$Q124)</f>
        <v>0</v>
      </c>
      <c r="P124" s="7">
        <f>COUNTIFS('Defect List'!C:C,'Job Planning'!G124,'Defect List'!B:B,"Outstanding",'Defect List'!G:G,"Major")</f>
        <v>0</v>
      </c>
      <c r="Q124" s="7">
        <f>COUNTIFS('Defect List'!C:C,'Job Planning'!G124,'Defect List'!B:B,"Outstanding",'Defect List'!G:G,"Minor")</f>
        <v>0</v>
      </c>
      <c r="R124" s="8" t="str" cm="1">
        <f t="array" ref="R124">_xlfn.TEXTJOIN("
",TRUE,_xlfn._xlws.FILTER('Outstanding Defect (PQ)'!G:G,'Outstanding Defect (PQ)'!B:B='Job Planning'!G124,""))</f>
        <v/>
      </c>
      <c r="S124" s="3"/>
      <c r="T124" s="30" t="str">
        <f>_xlfn.TEXTAFTER(G124,"-",-2)</f>
        <v>LIFT-4352</v>
      </c>
      <c r="U124" s="1" t="str">
        <f>IF(_xlfn.XLOOKUP('Job Planning'!$G124,Search!B:B,Search!C:C,"",0)="","",_xlfn.XLOOKUP('Job Planning'!$G124,Search!B:B,Search!C:C,"",0))</f>
        <v/>
      </c>
      <c r="V124" s="1" t="str">
        <f>_xlfn.XLOOKUP('Job Planning'!$T124,Search!A:A,Search!C:C,"",0)</f>
        <v/>
      </c>
      <c r="W124" s="1" t="str">
        <f>_xlfn.XLOOKUP('Job Planning'!$B124,Search!B:B,Search!C:C,"",0)</f>
        <v/>
      </c>
    </row>
    <row r="125" spans="1:23" ht="14.4">
      <c r="A125" s="14" t="s">
        <v>6</v>
      </c>
      <c r="B125" s="14" t="s">
        <v>47</v>
      </c>
      <c r="C125" s="14" t="s">
        <v>7</v>
      </c>
      <c r="D125" s="13" t="str">
        <f>IF(AND('Job Planning'!$L125="",'Job Planning'!$O125=0)=TRUE,"Can Close","Can't")</f>
        <v>Can't</v>
      </c>
      <c r="E125" s="13" t="str">
        <f>_xlfn.TEXTJOIN(", ",TRUE,IF(N125=0,"","Inspection"),IF('Job Planning'!$O125=0,"","Defect"))</f>
        <v>Inspection</v>
      </c>
      <c r="F125" s="22" t="s">
        <v>178</v>
      </c>
      <c r="G125" s="15" t="s">
        <v>407</v>
      </c>
      <c r="H125" s="14" t="s">
        <v>8</v>
      </c>
      <c r="I125" s="14" t="s">
        <v>8</v>
      </c>
      <c r="J125" s="14" t="s">
        <v>7</v>
      </c>
      <c r="K125" s="14" t="s">
        <v>7</v>
      </c>
      <c r="L125" s="20" t="str">
        <f>_xlfn.TEXTJOIN(", ",TRUE,
IF(ISNUMBER(MATCH('Job Planning'!$H125,{"To Be Signed","Started","Awaiting RFI","Outstanding","RFI Scheduled"},0)),"Stage 1",""),
IF(ISNUMBER(MATCH('Job Planning'!$I125,{"To Be Signed","Started","Awaiting RFI","Outstanding","RFI Scheduled"},0)),"Stage 2",""),
IF(ISNUMBER(MATCH('Job Planning'!$J125,{"To Be Signed","Started","Awaiting RFI","Outstanding","RFI Scheduled"},0)),"Stage 3",""),
IF(ISNUMBER(MATCH('Job Planning'!$K125,{"To Be Signed","Started","Awaiting RFI","Outstanding","RFI Scheduled"},0)),"Stage 4",""))</f>
        <v>Stage 3, Stage 4</v>
      </c>
      <c r="M125" s="14">
        <f>4-COUNTIF('Job Planning'!$H125:$K125,"N/A")-_xlfn.LET(_xlpm.pending,LEN('Job Planning'!$L125)-LEN(SUBSTITUTE('Job Planning'!$L125,",",""))+1,IF('Job Planning'!$L125="",0,_xlpm.pending))</f>
        <v>2</v>
      </c>
      <c r="N125" s="14">
        <f>_xlfn.LET(_xlpm.pending,LEN('Job Planning'!$L125)-LEN(SUBSTITUTE('Job Planning'!$L125,",",""))+1,IF('Job Planning'!$L125="",0,_xlpm.pending))</f>
        <v>2</v>
      </c>
      <c r="O125" s="14">
        <f>SUM('Job Planning'!$P125:$Q125)</f>
        <v>0</v>
      </c>
      <c r="P125" s="14">
        <f>COUNTIFS('Defect List'!C:C,'Job Planning'!G125,'Defect List'!B:B,"Outstanding",'Defect List'!G:G,"Major")</f>
        <v>0</v>
      </c>
      <c r="Q125" s="14">
        <f>COUNTIFS('Defect List'!C:C,'Job Planning'!G125,'Defect List'!B:B,"Outstanding",'Defect List'!G:G,"Minor")</f>
        <v>0</v>
      </c>
      <c r="R125" s="15" t="str" cm="1">
        <f t="array" ref="R125">_xlfn.TEXTJOIN("
",TRUE,_xlfn._xlws.FILTER('Outstanding Defect (PQ)'!G:G,'Outstanding Defect (PQ)'!B:B='Job Planning'!G125,""))</f>
        <v/>
      </c>
      <c r="S125" s="23">
        <v>46833</v>
      </c>
      <c r="T125" s="30" t="str">
        <f>_xlfn.TEXTAFTER(G125,"-",-2)</f>
        <v>LIFT-4351</v>
      </c>
      <c r="U125" s="1" t="str">
        <f>IF(_xlfn.XLOOKUP('Job Planning'!$G125,Search!B:B,Search!C:C,"",0)="","",_xlfn.XLOOKUP('Job Planning'!$G125,Search!B:B,Search!C:C,"",0))</f>
        <v/>
      </c>
      <c r="V125" s="1" t="str">
        <f>_xlfn.XLOOKUP('Job Planning'!$T125,Search!A:A,Search!C:C,"",0)</f>
        <v/>
      </c>
      <c r="W125" s="1" t="str">
        <f>_xlfn.XLOOKUP('Job Planning'!$B125,Search!B:B,Search!C:C,"",0)</f>
        <v/>
      </c>
    </row>
    <row r="126" spans="1:23" ht="14.4">
      <c r="A126" s="7" t="s">
        <v>19</v>
      </c>
      <c r="B126" s="7" t="s">
        <v>48</v>
      </c>
      <c r="C126" s="7" t="s">
        <v>8</v>
      </c>
      <c r="D126" s="6" t="str">
        <f>IF(AND('Job Planning'!$L126="",'Job Planning'!$O126=0)=TRUE,"Can Close","Can't")</f>
        <v>Can Close</v>
      </c>
      <c r="E126" s="6" t="str">
        <f>_xlfn.TEXTJOIN(", ",TRUE,IF(N126=0,"","Inspection"),IF('Job Planning'!$O126=0,"","Defect"))</f>
        <v/>
      </c>
      <c r="F126" s="21"/>
      <c r="G126" s="8" t="s">
        <v>408</v>
      </c>
      <c r="H126" s="7" t="s">
        <v>8</v>
      </c>
      <c r="I126" s="7" t="s">
        <v>8</v>
      </c>
      <c r="J126" s="7" t="s">
        <v>8</v>
      </c>
      <c r="K126" s="7" t="s">
        <v>8</v>
      </c>
      <c r="L126" s="19" t="str">
        <f>_xlfn.TEXTJOIN(", ",TRUE,
IF(ISNUMBER(MATCH('Job Planning'!$H126,{"To Be Signed","Started","Awaiting RFI","Outstanding","RFI Scheduled"},0)),"Stage 1",""),
IF(ISNUMBER(MATCH('Job Planning'!$I126,{"To Be Signed","Started","Awaiting RFI","Outstanding","RFI Scheduled"},0)),"Stage 2",""),
IF(ISNUMBER(MATCH('Job Planning'!$J126,{"To Be Signed","Started","Awaiting RFI","Outstanding","RFI Scheduled"},0)),"Stage 3",""),
IF(ISNUMBER(MATCH('Job Planning'!$K126,{"To Be Signed","Started","Awaiting RFI","Outstanding","RFI Scheduled"},0)),"Stage 4",""))</f>
        <v/>
      </c>
      <c r="M126" s="7">
        <f>4-COUNTIF('Job Planning'!$H126:$K126,"N/A")-_xlfn.LET(_xlpm.pending,LEN('Job Planning'!$L126)-LEN(SUBSTITUTE('Job Planning'!$L126,",",""))+1,IF('Job Planning'!$L126="",0,_xlpm.pending))</f>
        <v>4</v>
      </c>
      <c r="N126" s="7">
        <f>_xlfn.LET(_xlpm.pending,LEN('Job Planning'!$L126)-LEN(SUBSTITUTE('Job Planning'!$L126,",",""))+1,IF('Job Planning'!$L126="",0,_xlpm.pending))</f>
        <v>0</v>
      </c>
      <c r="O126" s="7">
        <f>SUM('Job Planning'!$P126:$Q126)</f>
        <v>0</v>
      </c>
      <c r="P126" s="7">
        <f>COUNTIFS('Defect List'!C:C,'Job Planning'!G126,'Defect List'!B:B,"Outstanding",'Defect List'!G:G,"Major")</f>
        <v>0</v>
      </c>
      <c r="Q126" s="7">
        <f>COUNTIFS('Defect List'!C:C,'Job Planning'!G126,'Defect List'!B:B,"Outstanding",'Defect List'!G:G,"Minor")</f>
        <v>0</v>
      </c>
      <c r="R126" s="8" t="str" cm="1">
        <f t="array" ref="R126">_xlfn.TEXTJOIN("
",TRUE,_xlfn._xlws.FILTER('Outstanding Defect (PQ)'!G:G,'Outstanding Defect (PQ)'!B:B='Job Planning'!G126,""))</f>
        <v/>
      </c>
      <c r="S126" s="3"/>
      <c r="T126" s="30" t="str">
        <f>_xlfn.TEXTAFTER(G126,"-",-2)</f>
        <v>CIV-4350</v>
      </c>
      <c r="U126" s="1" t="str">
        <f>IF(_xlfn.XLOOKUP('Job Planning'!$G126,Search!B:B,Search!C:C,"",0)="","",_xlfn.XLOOKUP('Job Planning'!$G126,Search!B:B,Search!C:C,"",0))</f>
        <v/>
      </c>
      <c r="V126" s="1" t="str">
        <f>_xlfn.XLOOKUP('Job Planning'!$T126,Search!A:A,Search!C:C,"",0)</f>
        <v/>
      </c>
      <c r="W126" s="1" t="str">
        <f>_xlfn.XLOOKUP('Job Planning'!$B126,Search!B:B,Search!C:C,"",0)</f>
        <v/>
      </c>
    </row>
    <row r="127" spans="1:23" ht="14.4">
      <c r="A127" s="7" t="s">
        <v>19</v>
      </c>
      <c r="B127" s="7" t="s">
        <v>49</v>
      </c>
      <c r="C127" s="7" t="s">
        <v>8</v>
      </c>
      <c r="D127" s="6" t="str">
        <f>IF(AND('Job Planning'!$L127="",'Job Planning'!$O127=0)=TRUE,"Can Close","Can't")</f>
        <v>Can Close</v>
      </c>
      <c r="E127" s="6" t="str">
        <f>_xlfn.TEXTJOIN(", ",TRUE,IF(N127=0,"","Inspection"),IF('Job Planning'!$O127=0,"","Defect"))</f>
        <v/>
      </c>
      <c r="F127" s="21"/>
      <c r="G127" s="8" t="s">
        <v>409</v>
      </c>
      <c r="H127" s="7" t="s">
        <v>8</v>
      </c>
      <c r="I127" s="7" t="s">
        <v>8</v>
      </c>
      <c r="J127" s="7" t="s">
        <v>8</v>
      </c>
      <c r="K127" s="7" t="s">
        <v>8</v>
      </c>
      <c r="L127" s="19" t="str">
        <f>_xlfn.TEXTJOIN(", ",TRUE,
IF(ISNUMBER(MATCH('Job Planning'!$H127,{"To Be Signed","Started","Awaiting RFI","Outstanding","RFI Scheduled"},0)),"Stage 1",""),
IF(ISNUMBER(MATCH('Job Planning'!$I127,{"To Be Signed","Started","Awaiting RFI","Outstanding","RFI Scheduled"},0)),"Stage 2",""),
IF(ISNUMBER(MATCH('Job Planning'!$J127,{"To Be Signed","Started","Awaiting RFI","Outstanding","RFI Scheduled"},0)),"Stage 3",""),
IF(ISNUMBER(MATCH('Job Planning'!$K127,{"To Be Signed","Started","Awaiting RFI","Outstanding","RFI Scheduled"},0)),"Stage 4",""))</f>
        <v/>
      </c>
      <c r="M127" s="7">
        <f>4-COUNTIF('Job Planning'!$H127:$K127,"N/A")-_xlfn.LET(_xlpm.pending,LEN('Job Planning'!$L127)-LEN(SUBSTITUTE('Job Planning'!$L127,",",""))+1,IF('Job Planning'!$L127="",0,_xlpm.pending))</f>
        <v>4</v>
      </c>
      <c r="N127" s="7">
        <f>_xlfn.LET(_xlpm.pending,LEN('Job Planning'!$L127)-LEN(SUBSTITUTE('Job Planning'!$L127,",",""))+1,IF('Job Planning'!$L127="",0,_xlpm.pending))</f>
        <v>0</v>
      </c>
      <c r="O127" s="7">
        <f>SUM('Job Planning'!$P127:$Q127)</f>
        <v>0</v>
      </c>
      <c r="P127" s="7">
        <f>COUNTIFS('Defect List'!C:C,'Job Planning'!G127,'Defect List'!B:B,"Outstanding",'Defect List'!G:G,"Major")</f>
        <v>0</v>
      </c>
      <c r="Q127" s="7">
        <f>COUNTIFS('Defect List'!C:C,'Job Planning'!G127,'Defect List'!B:B,"Outstanding",'Defect List'!G:G,"Minor")</f>
        <v>0</v>
      </c>
      <c r="R127" s="8" t="str" cm="1">
        <f t="array" ref="R127">_xlfn.TEXTJOIN("
",TRUE,_xlfn._xlws.FILTER('Outstanding Defect (PQ)'!G:G,'Outstanding Defect (PQ)'!B:B='Job Planning'!G127,""))</f>
        <v/>
      </c>
      <c r="S127" s="3"/>
      <c r="T127" s="30" t="str">
        <f>_xlfn.TEXTAFTER(G127,"-",-2)</f>
        <v>CIV-4349</v>
      </c>
      <c r="U127" s="1" t="str">
        <f>IF(_xlfn.XLOOKUP('Job Planning'!$G127,Search!B:B,Search!C:C,"",0)="","",_xlfn.XLOOKUP('Job Planning'!$G127,Search!B:B,Search!C:C,"",0))</f>
        <v/>
      </c>
      <c r="V127" s="1" t="str">
        <f>_xlfn.XLOOKUP('Job Planning'!$T127,Search!A:A,Search!C:C,"",0)</f>
        <v/>
      </c>
      <c r="W127" s="1" t="str">
        <f>_xlfn.XLOOKUP('Job Planning'!$B127,Search!B:B,Search!C:C,"",0)</f>
        <v/>
      </c>
    </row>
    <row r="128" spans="1:23" ht="14.4">
      <c r="A128" s="7" t="s">
        <v>19</v>
      </c>
      <c r="B128" s="7" t="s">
        <v>50</v>
      </c>
      <c r="C128" s="7" t="s">
        <v>8</v>
      </c>
      <c r="D128" s="6" t="str">
        <f>IF(AND('Job Planning'!$L128="",'Job Planning'!$O128=0)=TRUE,"Can Close","Can't")</f>
        <v>Can Close</v>
      </c>
      <c r="E128" s="6" t="str">
        <f>_xlfn.TEXTJOIN(", ",TRUE,IF(N128=0,"","Inspection"),IF('Job Planning'!$O128=0,"","Defect"))</f>
        <v/>
      </c>
      <c r="F128" s="21"/>
      <c r="G128" s="8" t="s">
        <v>410</v>
      </c>
      <c r="H128" s="7" t="s">
        <v>8</v>
      </c>
      <c r="I128" s="7" t="s">
        <v>8</v>
      </c>
      <c r="J128" s="7" t="s">
        <v>8</v>
      </c>
      <c r="K128" s="7" t="s">
        <v>8</v>
      </c>
      <c r="L128" s="19" t="str">
        <f>_xlfn.TEXTJOIN(", ",TRUE,
IF(ISNUMBER(MATCH('Job Planning'!$H128,{"To Be Signed","Started","Awaiting RFI","Outstanding","RFI Scheduled"},0)),"Stage 1",""),
IF(ISNUMBER(MATCH('Job Planning'!$I128,{"To Be Signed","Started","Awaiting RFI","Outstanding","RFI Scheduled"},0)),"Stage 2",""),
IF(ISNUMBER(MATCH('Job Planning'!$J128,{"To Be Signed","Started","Awaiting RFI","Outstanding","RFI Scheduled"},0)),"Stage 3",""),
IF(ISNUMBER(MATCH('Job Planning'!$K128,{"To Be Signed","Started","Awaiting RFI","Outstanding","RFI Scheduled"},0)),"Stage 4",""))</f>
        <v/>
      </c>
      <c r="M128" s="7">
        <f>4-COUNTIF('Job Planning'!$H128:$K128,"N/A")-_xlfn.LET(_xlpm.pending,LEN('Job Planning'!$L128)-LEN(SUBSTITUTE('Job Planning'!$L128,",",""))+1,IF('Job Planning'!$L128="",0,_xlpm.pending))</f>
        <v>4</v>
      </c>
      <c r="N128" s="7">
        <f>_xlfn.LET(_xlpm.pending,LEN('Job Planning'!$L128)-LEN(SUBSTITUTE('Job Planning'!$L128,",",""))+1,IF('Job Planning'!$L128="",0,_xlpm.pending))</f>
        <v>0</v>
      </c>
      <c r="O128" s="7">
        <f>SUM('Job Planning'!$P128:$Q128)</f>
        <v>0</v>
      </c>
      <c r="P128" s="7">
        <f>COUNTIFS('Defect List'!C:C,'Job Planning'!G128,'Defect List'!B:B,"Outstanding",'Defect List'!G:G,"Major")</f>
        <v>0</v>
      </c>
      <c r="Q128" s="7">
        <f>COUNTIFS('Defect List'!C:C,'Job Planning'!G128,'Defect List'!B:B,"Outstanding",'Defect List'!G:G,"Minor")</f>
        <v>0</v>
      </c>
      <c r="R128" s="8" t="str" cm="1">
        <f t="array" ref="R128">_xlfn.TEXTJOIN("
",TRUE,_xlfn._xlws.FILTER('Outstanding Defect (PQ)'!G:G,'Outstanding Defect (PQ)'!B:B='Job Planning'!G128,""))</f>
        <v/>
      </c>
      <c r="S128" s="3"/>
      <c r="T128" s="30" t="str">
        <f>_xlfn.TEXTAFTER(G128,"-",-2)</f>
        <v>PLMB-4348</v>
      </c>
      <c r="U128" s="1" t="str">
        <f>IF(_xlfn.XLOOKUP('Job Planning'!$G128,Search!B:B,Search!C:C,"",0)="","",_xlfn.XLOOKUP('Job Planning'!$G128,Search!B:B,Search!C:C,"",0))</f>
        <v/>
      </c>
      <c r="V128" s="1" t="str">
        <f>_xlfn.XLOOKUP('Job Planning'!$T128,Search!A:A,Search!C:C,"",0)</f>
        <v/>
      </c>
      <c r="W128" s="1" t="str">
        <f>_xlfn.XLOOKUP('Job Planning'!$B128,Search!B:B,Search!C:C,"",0)</f>
        <v/>
      </c>
    </row>
    <row r="129" spans="1:23" ht="14.4">
      <c r="A129" s="7" t="s">
        <v>19</v>
      </c>
      <c r="B129" s="7" t="s">
        <v>51</v>
      </c>
      <c r="C129" s="7" t="s">
        <v>8</v>
      </c>
      <c r="D129" s="6" t="str">
        <f>IF(AND('Job Planning'!$L129="",'Job Planning'!$O129=0)=TRUE,"Can Close","Can't")</f>
        <v>Can Close</v>
      </c>
      <c r="E129" s="6" t="str">
        <f>_xlfn.TEXTJOIN(", ",TRUE,IF(N129=0,"","Inspection"),IF('Job Planning'!$O129=0,"","Defect"))</f>
        <v/>
      </c>
      <c r="F129" s="21"/>
      <c r="G129" s="8" t="s">
        <v>411</v>
      </c>
      <c r="H129" s="7" t="s">
        <v>8</v>
      </c>
      <c r="I129" s="7" t="s">
        <v>8</v>
      </c>
      <c r="J129" s="7" t="s">
        <v>8</v>
      </c>
      <c r="K129" s="7" t="s">
        <v>8</v>
      </c>
      <c r="L129" s="19" t="str">
        <f>_xlfn.TEXTJOIN(", ",TRUE,
IF(ISNUMBER(MATCH('Job Planning'!$H129,{"To Be Signed","Started","Awaiting RFI","Outstanding","RFI Scheduled"},0)),"Stage 1",""),
IF(ISNUMBER(MATCH('Job Planning'!$I129,{"To Be Signed","Started","Awaiting RFI","Outstanding","RFI Scheduled"},0)),"Stage 2",""),
IF(ISNUMBER(MATCH('Job Planning'!$J129,{"To Be Signed","Started","Awaiting RFI","Outstanding","RFI Scheduled"},0)),"Stage 3",""),
IF(ISNUMBER(MATCH('Job Planning'!$K129,{"To Be Signed","Started","Awaiting RFI","Outstanding","RFI Scheduled"},0)),"Stage 4",""))</f>
        <v/>
      </c>
      <c r="M129" s="7">
        <f>4-COUNTIF('Job Planning'!$H129:$K129,"N/A")-_xlfn.LET(_xlpm.pending,LEN('Job Planning'!$L129)-LEN(SUBSTITUTE('Job Planning'!$L129,",",""))+1,IF('Job Planning'!$L129="",0,_xlpm.pending))</f>
        <v>4</v>
      </c>
      <c r="N129" s="7">
        <f>_xlfn.LET(_xlpm.pending,LEN('Job Planning'!$L129)-LEN(SUBSTITUTE('Job Planning'!$L129,",",""))+1,IF('Job Planning'!$L129="",0,_xlpm.pending))</f>
        <v>0</v>
      </c>
      <c r="O129" s="7">
        <f>SUM('Job Planning'!$P129:$Q129)</f>
        <v>0</v>
      </c>
      <c r="P129" s="7">
        <f>COUNTIFS('Defect List'!C:C,'Job Planning'!G129,'Defect List'!B:B,"Outstanding",'Defect List'!G:G,"Major")</f>
        <v>0</v>
      </c>
      <c r="Q129" s="7">
        <f>COUNTIFS('Defect List'!C:C,'Job Planning'!G129,'Defect List'!B:B,"Outstanding",'Defect List'!G:G,"Minor")</f>
        <v>0</v>
      </c>
      <c r="R129" s="8" t="str" cm="1">
        <f t="array" ref="R129">_xlfn.TEXTJOIN("
",TRUE,_xlfn._xlws.FILTER('Outstanding Defect (PQ)'!G:G,'Outstanding Defect (PQ)'!B:B='Job Planning'!G129,""))</f>
        <v/>
      </c>
      <c r="S129" s="3"/>
      <c r="T129" s="30" t="str">
        <f>_xlfn.TEXTAFTER(G129,"-",-2)</f>
        <v>HVAC-4226</v>
      </c>
      <c r="U129" s="1" t="str">
        <f>IF(_xlfn.XLOOKUP('Job Planning'!$G129,Search!B:B,Search!C:C,"",0)="","",_xlfn.XLOOKUP('Job Planning'!$G129,Search!B:B,Search!C:C,"",0))</f>
        <v/>
      </c>
      <c r="V129" s="1" t="str">
        <f>_xlfn.XLOOKUP('Job Planning'!$T129,Search!A:A,Search!C:C,"",0)</f>
        <v/>
      </c>
      <c r="W129" s="1" t="str">
        <f>_xlfn.XLOOKUP('Job Planning'!$B129,Search!B:B,Search!C:C,"",0)</f>
        <v/>
      </c>
    </row>
    <row r="130" spans="1:23" ht="14.4">
      <c r="A130" s="1" t="s">
        <v>13</v>
      </c>
      <c r="B130" s="1" t="s">
        <v>134</v>
      </c>
      <c r="C130" s="1" t="s">
        <v>7</v>
      </c>
      <c r="D130" s="3" t="str">
        <f>IF(AND('Job Planning'!$L130="",'Job Planning'!$O130=0)=TRUE,"Can Close","Can't")</f>
        <v>Can't</v>
      </c>
      <c r="E130" s="3" t="str">
        <f>_xlfn.TEXTJOIN(", ",TRUE,IF(N130=0,"","Inspection"),IF('Job Planning'!$O130=0,"","Defect"))</f>
        <v>Inspection, Defect</v>
      </c>
      <c r="F130" s="5"/>
      <c r="G130" s="4" t="s">
        <v>278</v>
      </c>
      <c r="H130" s="1" t="s">
        <v>8</v>
      </c>
      <c r="I130" s="1" t="s">
        <v>9</v>
      </c>
      <c r="J130" s="1" t="s">
        <v>7</v>
      </c>
      <c r="K130" s="1" t="s">
        <v>7</v>
      </c>
      <c r="L130" s="28" t="str">
        <f>_xlfn.TEXTJOIN(", ",TRUE,
IF(ISNUMBER(MATCH('Job Planning'!$H130,{"To Be Signed","Started","Awaiting RFI","Outstanding","RFI Scheduled"},0)),"Stage 1",""),
IF(ISNUMBER(MATCH('Job Planning'!$I130,{"To Be Signed","Started","Awaiting RFI","Outstanding","RFI Scheduled"},0)),"Stage 2",""),
IF(ISNUMBER(MATCH('Job Planning'!$J130,{"To Be Signed","Started","Awaiting RFI","Outstanding","RFI Scheduled"},0)),"Stage 3",""),
IF(ISNUMBER(MATCH('Job Planning'!$K130,{"To Be Signed","Started","Awaiting RFI","Outstanding","RFI Scheduled"},0)),"Stage 4",""))</f>
        <v>Stage 2, Stage 3, Stage 4</v>
      </c>
      <c r="M130" s="1">
        <f>4-COUNTIF('Job Planning'!$H130:$K130,"N/A")-_xlfn.LET(_xlpm.pending,LEN('Job Planning'!$L130)-LEN(SUBSTITUTE('Job Planning'!$L130,",",""))+1,IF('Job Planning'!$L130="",0,_xlpm.pending))</f>
        <v>1</v>
      </c>
      <c r="N130" s="1">
        <f>_xlfn.LET(_xlpm.pending,LEN('Job Planning'!$L130)-LEN(SUBSTITUTE('Job Planning'!$L130,",",""))+1,IF('Job Planning'!$L130="",0,_xlpm.pending))</f>
        <v>3</v>
      </c>
      <c r="O130" s="1">
        <f>SUM('Job Planning'!$P130:$Q130)</f>
        <v>4</v>
      </c>
      <c r="P130" s="1">
        <f>COUNTIFS('Defect List'!C:C,'Job Planning'!G130,'Defect List'!B:B,"Outstanding",'Defect List'!G:G,"Major")</f>
        <v>0</v>
      </c>
      <c r="Q130" s="1">
        <f>COUNTIFS('Defect List'!C:C,'Job Planning'!G130,'Defect List'!B:B,"Outstanding",'Defect List'!G:G,"Minor")</f>
        <v>4</v>
      </c>
      <c r="R130" s="4" t="str" cm="1">
        <f t="array" ref="R130">_xlfn.TEXTJOIN("
",TRUE,_xlfn._xlws.FILTER('Outstanding Defect (PQ)'!G:G,'Outstanding Defect (PQ)'!B:B='Job Planning'!G130,""))</f>
        <v>No. 1) Incorrect Asset Tag
No. 2) Supervisor Acknowledgement Pending
No. 3) Checklist Not Signed
No. 4) Final Inspection Pending</v>
      </c>
      <c r="S130" s="3">
        <v>46881</v>
      </c>
      <c r="T130" s="30" t="str">
        <f>_xlfn.TEXTAFTER(G130,"-",-2)</f>
        <v>GEN-8611</v>
      </c>
      <c r="U130" s="1" t="str">
        <f>IF(_xlfn.XLOOKUP('Job Planning'!$G130,Search!B:B,Search!C:C,"",0)="","",_xlfn.XLOOKUP('Job Planning'!$G130,Search!B:B,Search!C:C,"",0))</f>
        <v/>
      </c>
      <c r="V130" s="1" t="str">
        <f>_xlfn.XLOOKUP('Job Planning'!$T130,Search!A:A,Search!C:C,"",0)</f>
        <v/>
      </c>
      <c r="W130" s="1" t="str">
        <f>_xlfn.XLOOKUP('Job Planning'!$B130,Search!B:B,Search!C:C,"",0)</f>
        <v/>
      </c>
    </row>
    <row r="131" spans="1:23" ht="14.4">
      <c r="A131" s="1" t="s">
        <v>13</v>
      </c>
      <c r="B131" s="1" t="s">
        <v>135</v>
      </c>
      <c r="C131" s="1" t="s">
        <v>7</v>
      </c>
      <c r="D131" s="3" t="str">
        <f>IF(AND('Job Planning'!$L131="",'Job Planning'!$O131=0)=TRUE,"Can Close","Can't")</f>
        <v>Can't</v>
      </c>
      <c r="E131" s="3" t="str">
        <f>_xlfn.TEXTJOIN(", ",TRUE,IF(N131=0,"","Inspection"),IF('Job Planning'!$O131=0,"","Defect"))</f>
        <v>Inspection, Defect</v>
      </c>
      <c r="F131" s="5"/>
      <c r="G131" s="4" t="s">
        <v>284</v>
      </c>
      <c r="H131" s="1" t="s">
        <v>8</v>
      </c>
      <c r="I131" s="1" t="s">
        <v>9</v>
      </c>
      <c r="J131" s="1" t="s">
        <v>7</v>
      </c>
      <c r="K131" s="1" t="s">
        <v>7</v>
      </c>
      <c r="L131" s="28" t="str">
        <f>_xlfn.TEXTJOIN(", ",TRUE,
IF(ISNUMBER(MATCH('Job Planning'!$H131,{"To Be Signed","Started","Awaiting RFI","Outstanding","RFI Scheduled"},0)),"Stage 1",""),
IF(ISNUMBER(MATCH('Job Planning'!$I131,{"To Be Signed","Started","Awaiting RFI","Outstanding","RFI Scheduled"},0)),"Stage 2",""),
IF(ISNUMBER(MATCH('Job Planning'!$J131,{"To Be Signed","Started","Awaiting RFI","Outstanding","RFI Scheduled"},0)),"Stage 3",""),
IF(ISNUMBER(MATCH('Job Planning'!$K131,{"To Be Signed","Started","Awaiting RFI","Outstanding","RFI Scheduled"},0)),"Stage 4",""))</f>
        <v>Stage 2, Stage 3, Stage 4</v>
      </c>
      <c r="M131" s="1">
        <f>4-COUNTIF('Job Planning'!$H131:$K131,"N/A")-_xlfn.LET(_xlpm.pending,LEN('Job Planning'!$L131)-LEN(SUBSTITUTE('Job Planning'!$L131,",",""))+1,IF('Job Planning'!$L131="",0,_xlpm.pending))</f>
        <v>1</v>
      </c>
      <c r="N131" s="1">
        <f>_xlfn.LET(_xlpm.pending,LEN('Job Planning'!$L131)-LEN(SUBSTITUTE('Job Planning'!$L131,",",""))+1,IF('Job Planning'!$L131="",0,_xlpm.pending))</f>
        <v>3</v>
      </c>
      <c r="O131" s="1">
        <f>SUM('Job Planning'!$P131:$Q131)</f>
        <v>5</v>
      </c>
      <c r="P131" s="1">
        <f>COUNTIFS('Defect List'!C:C,'Job Planning'!G131,'Defect List'!B:B,"Outstanding",'Defect List'!G:G,"Major")</f>
        <v>3</v>
      </c>
      <c r="Q131" s="1">
        <f>COUNTIFS('Defect List'!C:C,'Job Planning'!G131,'Defect List'!B:B,"Outstanding",'Defect List'!G:G,"Minor")</f>
        <v>2</v>
      </c>
      <c r="R131" s="4" t="str" cm="1">
        <f t="array" ref="R131">_xlfn.TEXTJOIN("
",TRUE,_xlfn._xlws.FILTER('Outstanding Defect (PQ)'!G:G,'Outstanding Defect (PQ)'!B:B='Job Planning'!G131,""))</f>
        <v>No. 1) Structural Integrity Issue
No. 2) Regulatory Approval Pending
No. 3) Electrical Safety Non-Compliance
No. 4) Missing Equipment Label
No. 5) Incorrect Asset Tag</v>
      </c>
      <c r="S131" s="3">
        <v>46881</v>
      </c>
      <c r="T131" s="30" t="str">
        <f>_xlfn.TEXTAFTER(G131,"-",-2)</f>
        <v>GEN-8608</v>
      </c>
      <c r="U131" s="1" t="str">
        <f>IF(_xlfn.XLOOKUP('Job Planning'!$G131,Search!B:B,Search!C:C,"",0)="","",_xlfn.XLOOKUP('Job Planning'!$G131,Search!B:B,Search!C:C,"",0))</f>
        <v/>
      </c>
      <c r="V131" s="1" t="str">
        <f>_xlfn.XLOOKUP('Job Planning'!$T131,Search!A:A,Search!C:C,"",0)</f>
        <v/>
      </c>
      <c r="W131" s="1" t="str">
        <f>_xlfn.XLOOKUP('Job Planning'!$B131,Search!B:B,Search!C:C,"",0)</f>
        <v/>
      </c>
    </row>
    <row r="132" spans="1:23" ht="14.4">
      <c r="A132" s="1" t="s">
        <v>13</v>
      </c>
      <c r="B132" s="1" t="s">
        <v>136</v>
      </c>
      <c r="C132" s="1" t="s">
        <v>7</v>
      </c>
      <c r="D132" s="3" t="str">
        <f>IF(AND('Job Planning'!$L132="",'Job Planning'!$O132=0)=TRUE,"Can Close","Can't")</f>
        <v>Can't</v>
      </c>
      <c r="E132" s="3" t="str">
        <f>_xlfn.TEXTJOIN(", ",TRUE,IF(N132=0,"","Inspection"),IF('Job Planning'!$O132=0,"","Defect"))</f>
        <v>Inspection, Defect</v>
      </c>
      <c r="F132" s="5"/>
      <c r="G132" s="4" t="s">
        <v>280</v>
      </c>
      <c r="H132" s="1" t="s">
        <v>9</v>
      </c>
      <c r="I132" s="1" t="s">
        <v>7</v>
      </c>
      <c r="J132" s="1" t="s">
        <v>7</v>
      </c>
      <c r="K132" s="1" t="s">
        <v>7</v>
      </c>
      <c r="L132" s="28" t="str">
        <f>_xlfn.TEXTJOIN(", ",TRUE,
IF(ISNUMBER(MATCH('Job Planning'!$H132,{"To Be Signed","Started","Awaiting RFI","Outstanding","RFI Scheduled"},0)),"Stage 1",""),
IF(ISNUMBER(MATCH('Job Planning'!$I132,{"To Be Signed","Started","Awaiting RFI","Outstanding","RFI Scheduled"},0)),"Stage 2",""),
IF(ISNUMBER(MATCH('Job Planning'!$J132,{"To Be Signed","Started","Awaiting RFI","Outstanding","RFI Scheduled"},0)),"Stage 3",""),
IF(ISNUMBER(MATCH('Job Planning'!$K132,{"To Be Signed","Started","Awaiting RFI","Outstanding","RFI Scheduled"},0)),"Stage 4",""))</f>
        <v>Stage 1, Stage 2, Stage 3, Stage 4</v>
      </c>
      <c r="M132" s="1">
        <f>4-COUNTIF('Job Planning'!$H132:$K132,"N/A")-_xlfn.LET(_xlpm.pending,LEN('Job Planning'!$L132)-LEN(SUBSTITUTE('Job Planning'!$L132,",",""))+1,IF('Job Planning'!$L132="",0,_xlpm.pending))</f>
        <v>0</v>
      </c>
      <c r="N132" s="1">
        <f>_xlfn.LET(_xlpm.pending,LEN('Job Planning'!$L132)-LEN(SUBSTITUTE('Job Planning'!$L132,",",""))+1,IF('Job Planning'!$L132="",0,_xlpm.pending))</f>
        <v>4</v>
      </c>
      <c r="O132" s="1">
        <f>SUM('Job Planning'!$P132:$Q132)</f>
        <v>5</v>
      </c>
      <c r="P132" s="1">
        <f>COUNTIFS('Defect List'!C:C,'Job Planning'!G132,'Defect List'!B:B,"Outstanding",'Defect List'!G:G,"Major")</f>
        <v>3</v>
      </c>
      <c r="Q132" s="1">
        <f>COUNTIFS('Defect List'!C:C,'Job Planning'!G132,'Defect List'!B:B,"Outstanding",'Defect List'!G:G,"Minor")</f>
        <v>2</v>
      </c>
      <c r="R132" s="4" t="str" cm="1">
        <f t="array" ref="R132">_xlfn.TEXTJOIN("
",TRUE,_xlfn._xlws.FILTER('Outstanding Defect (PQ)'!G:G,'Outstanding Defect (PQ)'!B:B='Job Planning'!G132,""))</f>
        <v>No. 1) Electrical Safety Non-Compliance
No. 2) Fire Protection System Incomplete
No. 3) Regulatory Approval Pending
No. 4) Checklist Not Signed
No. 5) Incorrect Asset Tag</v>
      </c>
      <c r="S132" s="3">
        <v>46881</v>
      </c>
      <c r="T132" s="30" t="str">
        <f>_xlfn.TEXTAFTER(G132,"-",-2)</f>
        <v>GEN-8605</v>
      </c>
      <c r="U132" s="1" t="str">
        <f>IF(_xlfn.XLOOKUP('Job Planning'!$G132,Search!B:B,Search!C:C,"",0)="","",_xlfn.XLOOKUP('Job Planning'!$G132,Search!B:B,Search!C:C,"",0))</f>
        <v/>
      </c>
      <c r="V132" s="1" t="str">
        <f>_xlfn.XLOOKUP('Job Planning'!$T132,Search!A:A,Search!C:C,"",0)</f>
        <v/>
      </c>
      <c r="W132" s="1" t="str">
        <f>_xlfn.XLOOKUP('Job Planning'!$B132,Search!B:B,Search!C:C,"",0)</f>
        <v/>
      </c>
    </row>
    <row r="133" spans="1:23" ht="14.4">
      <c r="A133" s="7" t="s">
        <v>13</v>
      </c>
      <c r="B133" s="7" t="s">
        <v>137</v>
      </c>
      <c r="C133" s="7" t="s">
        <v>8</v>
      </c>
      <c r="D133" s="6" t="str">
        <f>IF(AND('Job Planning'!$L133="",'Job Planning'!$O133=0)=TRUE,"Can Close","Can't")</f>
        <v>Can Close</v>
      </c>
      <c r="E133" s="6" t="str">
        <f>_xlfn.TEXTJOIN(", ",TRUE,IF(N133=0,"","Inspection"),IF('Job Planning'!$O133=0,"","Defect"))</f>
        <v/>
      </c>
      <c r="F133" s="21"/>
      <c r="G133" s="8" t="s">
        <v>412</v>
      </c>
      <c r="H133" s="7" t="s">
        <v>8</v>
      </c>
      <c r="I133" s="7" t="s">
        <v>8</v>
      </c>
      <c r="J133" s="7" t="s">
        <v>8</v>
      </c>
      <c r="K133" s="7" t="s">
        <v>8</v>
      </c>
      <c r="L133" s="19" t="str">
        <f>_xlfn.TEXTJOIN(", ",TRUE,
IF(ISNUMBER(MATCH('Job Planning'!$H133,{"To Be Signed","Started","Awaiting RFI","Outstanding","RFI Scheduled"},0)),"Stage 1",""),
IF(ISNUMBER(MATCH('Job Planning'!$I133,{"To Be Signed","Started","Awaiting RFI","Outstanding","RFI Scheduled"},0)),"Stage 2",""),
IF(ISNUMBER(MATCH('Job Planning'!$J133,{"To Be Signed","Started","Awaiting RFI","Outstanding","RFI Scheduled"},0)),"Stage 3",""),
IF(ISNUMBER(MATCH('Job Planning'!$K133,{"To Be Signed","Started","Awaiting RFI","Outstanding","RFI Scheduled"},0)),"Stage 4",""))</f>
        <v/>
      </c>
      <c r="M133" s="7">
        <f>4-COUNTIF('Job Planning'!$H133:$K133,"N/A")-_xlfn.LET(_xlpm.pending,LEN('Job Planning'!$L133)-LEN(SUBSTITUTE('Job Planning'!$L133,",",""))+1,IF('Job Planning'!$L133="",0,_xlpm.pending))</f>
        <v>4</v>
      </c>
      <c r="N133" s="7">
        <f>_xlfn.LET(_xlpm.pending,LEN('Job Planning'!$L133)-LEN(SUBSTITUTE('Job Planning'!$L133,",",""))+1,IF('Job Planning'!$L133="",0,_xlpm.pending))</f>
        <v>0</v>
      </c>
      <c r="O133" s="7">
        <f>SUM('Job Planning'!$P133:$Q133)</f>
        <v>0</v>
      </c>
      <c r="P133" s="7">
        <f>COUNTIFS('Defect List'!C:C,'Job Planning'!G133,'Defect List'!B:B,"Outstanding",'Defect List'!G:G,"Major")</f>
        <v>0</v>
      </c>
      <c r="Q133" s="7">
        <f>COUNTIFS('Defect List'!C:C,'Job Planning'!G133,'Defect List'!B:B,"Outstanding",'Defect List'!G:G,"Minor")</f>
        <v>0</v>
      </c>
      <c r="R133" s="8" t="str" cm="1">
        <f t="array" ref="R133">_xlfn.TEXTJOIN("
",TRUE,_xlfn._xlws.FILTER('Outstanding Defect (PQ)'!G:G,'Outstanding Defect (PQ)'!B:B='Job Planning'!G133,""))</f>
        <v/>
      </c>
      <c r="S133" s="3"/>
      <c r="T133" s="30" t="str">
        <f>_xlfn.TEXTAFTER(G133,"-",-2)</f>
        <v>MECH-8669</v>
      </c>
      <c r="U133" s="1" t="str">
        <f>IF(_xlfn.XLOOKUP('Job Planning'!$G133,Search!B:B,Search!C:C,"",0)="","",_xlfn.XLOOKUP('Job Planning'!$G133,Search!B:B,Search!C:C,"",0))</f>
        <v/>
      </c>
      <c r="V133" s="1" t="str">
        <f>_xlfn.XLOOKUP('Job Planning'!$T133,Search!A:A,Search!C:C,"",0)</f>
        <v/>
      </c>
      <c r="W133" s="1" t="str">
        <f>_xlfn.XLOOKUP('Job Planning'!$B133,Search!B:B,Search!C:C,"",0)</f>
        <v/>
      </c>
    </row>
    <row r="134" spans="1:23" ht="14.4">
      <c r="A134" s="7" t="s">
        <v>13</v>
      </c>
      <c r="B134" s="7" t="s">
        <v>138</v>
      </c>
      <c r="C134" s="7" t="s">
        <v>8</v>
      </c>
      <c r="D134" s="6" t="str">
        <f>IF(AND('Job Planning'!$L134="",'Job Planning'!$O134=0)=TRUE,"Can Close","Can't")</f>
        <v>Can Close</v>
      </c>
      <c r="E134" s="6" t="str">
        <f>_xlfn.TEXTJOIN(", ",TRUE,IF(N134=0,"","Inspection"),IF('Job Planning'!$O134=0,"","Defect"))</f>
        <v/>
      </c>
      <c r="F134" s="21"/>
      <c r="G134" s="8" t="s">
        <v>413</v>
      </c>
      <c r="H134" s="7" t="s">
        <v>8</v>
      </c>
      <c r="I134" s="7" t="s">
        <v>8</v>
      </c>
      <c r="J134" s="7" t="s">
        <v>8</v>
      </c>
      <c r="K134" s="7" t="s">
        <v>8</v>
      </c>
      <c r="L134" s="19" t="str">
        <f>_xlfn.TEXTJOIN(", ",TRUE,
IF(ISNUMBER(MATCH('Job Planning'!$H134,{"To Be Signed","Started","Awaiting RFI","Outstanding","RFI Scheduled"},0)),"Stage 1",""),
IF(ISNUMBER(MATCH('Job Planning'!$I134,{"To Be Signed","Started","Awaiting RFI","Outstanding","RFI Scheduled"},0)),"Stage 2",""),
IF(ISNUMBER(MATCH('Job Planning'!$J134,{"To Be Signed","Started","Awaiting RFI","Outstanding","RFI Scheduled"},0)),"Stage 3",""),
IF(ISNUMBER(MATCH('Job Planning'!$K134,{"To Be Signed","Started","Awaiting RFI","Outstanding","RFI Scheduled"},0)),"Stage 4",""))</f>
        <v/>
      </c>
      <c r="M134" s="7">
        <f>4-COUNTIF('Job Planning'!$H134:$K134,"N/A")-_xlfn.LET(_xlpm.pending,LEN('Job Planning'!$L134)-LEN(SUBSTITUTE('Job Planning'!$L134,",",""))+1,IF('Job Planning'!$L134="",0,_xlpm.pending))</f>
        <v>4</v>
      </c>
      <c r="N134" s="7">
        <f>_xlfn.LET(_xlpm.pending,LEN('Job Planning'!$L134)-LEN(SUBSTITUTE('Job Planning'!$L134,",",""))+1,IF('Job Planning'!$L134="",0,_xlpm.pending))</f>
        <v>0</v>
      </c>
      <c r="O134" s="7">
        <f>SUM('Job Planning'!$P134:$Q134)</f>
        <v>0</v>
      </c>
      <c r="P134" s="7">
        <f>COUNTIFS('Defect List'!C:C,'Job Planning'!G134,'Defect List'!B:B,"Outstanding",'Defect List'!G:G,"Major")</f>
        <v>0</v>
      </c>
      <c r="Q134" s="7">
        <f>COUNTIFS('Defect List'!C:C,'Job Planning'!G134,'Defect List'!B:B,"Outstanding",'Defect List'!G:G,"Minor")</f>
        <v>0</v>
      </c>
      <c r="R134" s="8" t="str" cm="1">
        <f t="array" ref="R134">_xlfn.TEXTJOIN("
",TRUE,_xlfn._xlws.FILTER('Outstanding Defect (PQ)'!G:G,'Outstanding Defect (PQ)'!B:B='Job Planning'!G134,""))</f>
        <v/>
      </c>
      <c r="S134" s="3"/>
      <c r="T134" s="30" t="str">
        <f>_xlfn.TEXTAFTER(G134,"-",-2)</f>
        <v>SAF-8668</v>
      </c>
      <c r="U134" s="1" t="str">
        <f>IF(_xlfn.XLOOKUP('Job Planning'!$G134,Search!B:B,Search!C:C,"",0)="","",_xlfn.XLOOKUP('Job Planning'!$G134,Search!B:B,Search!C:C,"",0))</f>
        <v/>
      </c>
      <c r="V134" s="1" t="str">
        <f>_xlfn.XLOOKUP('Job Planning'!$T134,Search!A:A,Search!C:C,"",0)</f>
        <v/>
      </c>
      <c r="W134" s="1" t="str">
        <f>_xlfn.XLOOKUP('Job Planning'!$B134,Search!B:B,Search!C:C,"",0)</f>
        <v/>
      </c>
    </row>
    <row r="135" spans="1:23" ht="14.4">
      <c r="A135" s="1" t="s">
        <v>13</v>
      </c>
      <c r="B135" s="1" t="s">
        <v>139</v>
      </c>
      <c r="C135" s="1" t="s">
        <v>7</v>
      </c>
      <c r="D135" s="3" t="str">
        <f>IF(AND('Job Planning'!$L135="",'Job Planning'!$O135=0)=TRUE,"Can Close","Can't")</f>
        <v>Can't</v>
      </c>
      <c r="E135" s="3" t="str">
        <f>_xlfn.TEXTJOIN(", ",TRUE,IF(N135=0,"","Inspection"),IF('Job Planning'!$O135=0,"","Defect"))</f>
        <v>Inspection, Defect</v>
      </c>
      <c r="F135" s="3"/>
      <c r="G135" s="4" t="s">
        <v>286</v>
      </c>
      <c r="H135" s="1" t="s">
        <v>8</v>
      </c>
      <c r="I135" s="1" t="s">
        <v>8</v>
      </c>
      <c r="J135" s="1" t="s">
        <v>8</v>
      </c>
      <c r="K135" s="1" t="s">
        <v>7</v>
      </c>
      <c r="L135" s="28" t="str">
        <f>_xlfn.TEXTJOIN(", ",TRUE,
IF(ISNUMBER(MATCH('Job Planning'!$H135,{"To Be Signed","Started","Awaiting RFI","Outstanding","RFI Scheduled"},0)),"Stage 1",""),
IF(ISNUMBER(MATCH('Job Planning'!$I135,{"To Be Signed","Started","Awaiting RFI","Outstanding","RFI Scheduled"},0)),"Stage 2",""),
IF(ISNUMBER(MATCH('Job Planning'!$J135,{"To Be Signed","Started","Awaiting RFI","Outstanding","RFI Scheduled"},0)),"Stage 3",""),
IF(ISNUMBER(MATCH('Job Planning'!$K135,{"To Be Signed","Started","Awaiting RFI","Outstanding","RFI Scheduled"},0)),"Stage 4",""))</f>
        <v>Stage 4</v>
      </c>
      <c r="M135" s="1">
        <f>4-COUNTIF('Job Planning'!$H135:$K135,"N/A")-_xlfn.LET(_xlpm.pending,LEN('Job Planning'!$L135)-LEN(SUBSTITUTE('Job Planning'!$L135,",",""))+1,IF('Job Planning'!$L135="",0,_xlpm.pending))</f>
        <v>3</v>
      </c>
      <c r="N135" s="1">
        <f>_xlfn.LET(_xlpm.pending,LEN('Job Planning'!$L135)-LEN(SUBSTITUTE('Job Planning'!$L135,",",""))+1,IF('Job Planning'!$L135="",0,_xlpm.pending))</f>
        <v>1</v>
      </c>
      <c r="O135" s="1">
        <f>SUM('Job Planning'!$P135:$Q135)</f>
        <v>3</v>
      </c>
      <c r="P135" s="1">
        <f>COUNTIFS('Defect List'!C:C,'Job Planning'!G135,'Defect List'!B:B,"Outstanding",'Defect List'!G:G,"Major")</f>
        <v>3</v>
      </c>
      <c r="Q135" s="1">
        <f>COUNTIFS('Defect List'!C:C,'Job Planning'!G135,'Defect List'!B:B,"Outstanding",'Defect List'!G:G,"Minor")</f>
        <v>0</v>
      </c>
      <c r="R135" s="1" t="str" cm="1">
        <f t="array" ref="R135">_xlfn.TEXTJOIN("
",TRUE,_xlfn._xlws.FILTER('Outstanding Defect (PQ)'!G:G,'Outstanding Defect (PQ)'!B:B='Job Planning'!G135,""))</f>
        <v>No. 1) Electrical Safety Non-Compliance
No. 2) Structural Integrity Issue
No. 3) Mechanical System Malfunction</v>
      </c>
      <c r="S135" s="3">
        <v>46881</v>
      </c>
      <c r="T135" s="30" t="str">
        <f>_xlfn.TEXTAFTER(G135,"-",-2)</f>
        <v>INS-8282</v>
      </c>
      <c r="U135" s="1" t="str">
        <f>IF(_xlfn.XLOOKUP('Job Planning'!$G135,Search!B:B,Search!C:C,"",0)="","",_xlfn.XLOOKUP('Job Planning'!$G135,Search!B:B,Search!C:C,"",0))</f>
        <v/>
      </c>
      <c r="V135" s="1" t="str">
        <f>_xlfn.XLOOKUP('Job Planning'!$T135,Search!A:A,Search!C:C,"",0)</f>
        <v/>
      </c>
      <c r="W135" s="1" t="str">
        <f>_xlfn.XLOOKUP('Job Planning'!$B135,Search!B:B,Search!C:C,"",0)</f>
        <v/>
      </c>
    </row>
    <row r="136" spans="1:23" ht="15" customHeight="1">
      <c r="A136" s="7" t="s">
        <v>13</v>
      </c>
      <c r="B136" s="7" t="s">
        <v>140</v>
      </c>
      <c r="C136" s="7" t="s">
        <v>8</v>
      </c>
      <c r="D136" s="6" t="str">
        <f>IF(AND('Job Planning'!$L136="",'Job Planning'!$O136=0)=TRUE,"Can Close","Can't")</f>
        <v>Can Close</v>
      </c>
      <c r="E136" s="6" t="str">
        <f>_xlfn.TEXTJOIN(", ",TRUE,IF(N136=0,"","Inspection"),IF('Job Planning'!$O136=0,"","Defect"))</f>
        <v/>
      </c>
      <c r="F136" s="26"/>
      <c r="G136" s="8" t="s">
        <v>414</v>
      </c>
      <c r="H136" s="7" t="s">
        <v>8</v>
      </c>
      <c r="I136" s="7" t="s">
        <v>8</v>
      </c>
      <c r="J136" s="7" t="s">
        <v>8</v>
      </c>
      <c r="K136" s="7" t="s">
        <v>8</v>
      </c>
      <c r="L136" s="19" t="str">
        <f>_xlfn.TEXTJOIN(", ",TRUE,
IF(ISNUMBER(MATCH('Job Planning'!$H136,{"To Be Signed","Started","Awaiting RFI","Outstanding","RFI Scheduled"},0)),"Stage 1",""),
IF(ISNUMBER(MATCH('Job Planning'!$I136,{"To Be Signed","Started","Awaiting RFI","Outstanding","RFI Scheduled"},0)),"Stage 2",""),
IF(ISNUMBER(MATCH('Job Planning'!$J136,{"To Be Signed","Started","Awaiting RFI","Outstanding","RFI Scheduled"},0)),"Stage 3",""),
IF(ISNUMBER(MATCH('Job Planning'!$K136,{"To Be Signed","Started","Awaiting RFI","Outstanding","RFI Scheduled"},0)),"Stage 4",""))</f>
        <v/>
      </c>
      <c r="M136" s="7">
        <f>4-COUNTIF('Job Planning'!$H136:$K136,"N/A")-_xlfn.LET(_xlpm.pending,LEN('Job Planning'!$L136)-LEN(SUBSTITUTE('Job Planning'!$L136,",",""))+1,IF('Job Planning'!$L136="",0,_xlpm.pending))</f>
        <v>4</v>
      </c>
      <c r="N136" s="7">
        <f>_xlfn.LET(_xlpm.pending,LEN('Job Planning'!$L136)-LEN(SUBSTITUTE('Job Planning'!$L136,",",""))+1,IF('Job Planning'!$L136="",0,_xlpm.pending))</f>
        <v>0</v>
      </c>
      <c r="O136" s="7">
        <f>SUM('Job Planning'!$P136:$Q136)</f>
        <v>0</v>
      </c>
      <c r="P136" s="7">
        <f>COUNTIFS('Defect List'!C:C,'Job Planning'!G136,'Defect List'!B:B,"Outstanding",'Defect List'!G:G,"Major")</f>
        <v>0</v>
      </c>
      <c r="Q136" s="7">
        <f>COUNTIFS('Defect List'!C:C,'Job Planning'!G136,'Defect List'!B:B,"Outstanding",'Defect List'!G:G,"Minor")</f>
        <v>0</v>
      </c>
      <c r="R136" s="7" t="str" cm="1">
        <f t="array" ref="R136">_xlfn.TEXTJOIN("
",TRUE,_xlfn._xlws.FILTER('Outstanding Defect (PQ)'!G:G,'Outstanding Defect (PQ)'!B:B='Job Planning'!G136,""))</f>
        <v/>
      </c>
      <c r="S136" s="3"/>
      <c r="T136" s="30" t="str">
        <f>_xlfn.TEXTAFTER(G136,"-",-2)</f>
        <v>COOL-8323A</v>
      </c>
      <c r="U136" s="1" t="str">
        <f>IF(_xlfn.XLOOKUP('Job Planning'!$G136,Search!B:B,Search!C:C,"",0)="","",_xlfn.XLOOKUP('Job Planning'!$G136,Search!B:B,Search!C:C,"",0))</f>
        <v/>
      </c>
      <c r="V136" s="1" t="str">
        <f>_xlfn.XLOOKUP('Job Planning'!$T136,Search!A:A,Search!C:C,"",0)</f>
        <v/>
      </c>
      <c r="W136" s="1" t="str">
        <f>_xlfn.XLOOKUP('Job Planning'!$B136,Search!B:B,Search!C:C,"",0)</f>
        <v/>
      </c>
    </row>
    <row r="137" spans="1:23" ht="15" customHeight="1">
      <c r="A137" s="7" t="s">
        <v>13</v>
      </c>
      <c r="B137" s="7" t="s">
        <v>141</v>
      </c>
      <c r="C137" s="7" t="s">
        <v>8</v>
      </c>
      <c r="D137" s="6" t="str">
        <f>IF(AND('Job Planning'!$L137="",'Job Planning'!$O137=0)=TRUE,"Can Close","Can't")</f>
        <v>Can Close</v>
      </c>
      <c r="E137" s="6" t="str">
        <f>_xlfn.TEXTJOIN(", ",TRUE,IF(N137=0,"","Inspection"),IF('Job Planning'!$O137=0,"","Defect"))</f>
        <v/>
      </c>
      <c r="F137" s="26"/>
      <c r="G137" s="8" t="s">
        <v>415</v>
      </c>
      <c r="H137" s="7" t="s">
        <v>8</v>
      </c>
      <c r="I137" s="7" t="s">
        <v>8</v>
      </c>
      <c r="J137" s="7" t="s">
        <v>8</v>
      </c>
      <c r="K137" s="7" t="s">
        <v>8</v>
      </c>
      <c r="L137" s="19" t="str">
        <f>_xlfn.TEXTJOIN(", ",TRUE,
IF(ISNUMBER(MATCH('Job Planning'!$H137,{"To Be Signed","Started","Awaiting RFI","Outstanding","RFI Scheduled"},0)),"Stage 1",""),
IF(ISNUMBER(MATCH('Job Planning'!$I137,{"To Be Signed","Started","Awaiting RFI","Outstanding","RFI Scheduled"},0)),"Stage 2",""),
IF(ISNUMBER(MATCH('Job Planning'!$J137,{"To Be Signed","Started","Awaiting RFI","Outstanding","RFI Scheduled"},0)),"Stage 3",""),
IF(ISNUMBER(MATCH('Job Planning'!$K137,{"To Be Signed","Started","Awaiting RFI","Outstanding","RFI Scheduled"},0)),"Stage 4",""))</f>
        <v/>
      </c>
      <c r="M137" s="7">
        <f>4-COUNTIF('Job Planning'!$H137:$K137,"N/A")-_xlfn.LET(_xlpm.pending,LEN('Job Planning'!$L137)-LEN(SUBSTITUTE('Job Planning'!$L137,",",""))+1,IF('Job Planning'!$L137="",0,_xlpm.pending))</f>
        <v>4</v>
      </c>
      <c r="N137" s="7">
        <f>_xlfn.LET(_xlpm.pending,LEN('Job Planning'!$L137)-LEN(SUBSTITUTE('Job Planning'!$L137,",",""))+1,IF('Job Planning'!$L137="",0,_xlpm.pending))</f>
        <v>0</v>
      </c>
      <c r="O137" s="7">
        <f>SUM('Job Planning'!$P137:$Q137)</f>
        <v>0</v>
      </c>
      <c r="P137" s="7">
        <f>COUNTIFS('Defect List'!C:C,'Job Planning'!G137,'Defect List'!B:B,"Outstanding",'Defect List'!G:G,"Major")</f>
        <v>0</v>
      </c>
      <c r="Q137" s="7">
        <f>COUNTIFS('Defect List'!C:C,'Job Planning'!G137,'Defect List'!B:B,"Outstanding",'Defect List'!G:G,"Minor")</f>
        <v>0</v>
      </c>
      <c r="R137" s="7" t="str" cm="1">
        <f t="array" ref="R137">_xlfn.TEXTJOIN("
",TRUE,_xlfn._xlws.FILTER('Outstanding Defect (PQ)'!G:G,'Outstanding Defect (PQ)'!B:B='Job Planning'!G137,""))</f>
        <v/>
      </c>
      <c r="S137" s="3"/>
      <c r="T137" s="30" t="str">
        <f>_xlfn.TEXTAFTER(G137,"-",-2)</f>
        <v>COOL-8324A</v>
      </c>
      <c r="U137" s="1" t="str">
        <f>IF(_xlfn.XLOOKUP('Job Planning'!$G137,Search!B:B,Search!C:C,"",0)="","",_xlfn.XLOOKUP('Job Planning'!$G137,Search!B:B,Search!C:C,"",0))</f>
        <v/>
      </c>
      <c r="V137" s="1" t="str">
        <f>_xlfn.XLOOKUP('Job Planning'!$T137,Search!A:A,Search!C:C,"",0)</f>
        <v/>
      </c>
      <c r="W137" s="1" t="str">
        <f>_xlfn.XLOOKUP('Job Planning'!$B137,Search!B:B,Search!C:C,"",0)</f>
        <v/>
      </c>
    </row>
    <row r="138" spans="1:23" ht="14.4">
      <c r="B138" s="9"/>
      <c r="C138" s="9"/>
      <c r="G138" s="9"/>
      <c r="V138"/>
    </row>
    <row r="139" spans="1:23" ht="14.4">
      <c r="B139" s="9"/>
      <c r="C139" s="9"/>
      <c r="G139" s="9"/>
      <c r="V139"/>
    </row>
    <row r="140" spans="1:23" ht="14.4">
      <c r="B140" s="9"/>
      <c r="C140" s="9"/>
      <c r="G140" s="9"/>
      <c r="V140"/>
    </row>
    <row r="141" spans="1:23" ht="14.4">
      <c r="B141" s="9"/>
      <c r="C141" s="9"/>
      <c r="G141" s="9"/>
      <c r="V141"/>
    </row>
    <row r="142" spans="1:23" ht="14.4">
      <c r="B142" s="9"/>
      <c r="C142" s="9"/>
      <c r="G142" s="9"/>
      <c r="V142"/>
    </row>
    <row r="143" spans="1:23" ht="15" customHeight="1"/>
    <row r="144" spans="1:23"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sheetData>
  <autoFilter ref="A3:W137" xr:uid="{173B030E-A3D8-496A-A5DC-B2F946C3C5A6}"/>
  <phoneticPr fontId="3" type="noConversion"/>
  <conditionalFormatting sqref="T4:T1048576">
    <cfRule type="duplicateValues" dxfId="6" priority="316"/>
  </conditionalFormatting>
  <conditionalFormatting sqref="B1:B2 B19:B1048576 B4:B17">
    <cfRule type="duplicateValues" dxfId="5" priority="551"/>
  </conditionalFormatting>
  <conditionalFormatting sqref="G143:G1048576 G1:G2 G4:G137">
    <cfRule type="duplicateValues" dxfId="4" priority="1566"/>
  </conditionalFormatting>
  <pageMargins left="0.25" right="0.25"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Update FVM">
              <controlPr defaultSize="0" print="0" autoFill="0" autoPict="0" macro="[0]!System_MaintenanceJob_Status">
                <anchor moveWithCells="1" sizeWithCells="1">
                  <from>
                    <xdr:col>1</xdr:col>
                    <xdr:colOff>76200</xdr:colOff>
                    <xdr:row>0</xdr:row>
                    <xdr:rowOff>45720</xdr:rowOff>
                  </from>
                  <to>
                    <xdr:col>1</xdr:col>
                    <xdr:colOff>1714500</xdr:colOff>
                    <xdr:row>1</xdr:row>
                    <xdr:rowOff>137160</xdr:rowOff>
                  </to>
                </anchor>
              </controlPr>
            </control>
          </mc:Choice>
        </mc:AlternateContent>
        <mc:AlternateContent xmlns:mc="http://schemas.openxmlformats.org/markup-compatibility/2006">
          <mc:Choice Requires="x14">
            <control shapeId="8194" r:id="rId5" name="Button 2">
              <controlPr defaultSize="0" print="0" autoFill="0" autoPict="0" macro="[0]!System_WorkOrder_InspectionStage_Status">
                <anchor moveWithCells="1" sizeWithCells="1">
                  <from>
                    <xdr:col>7</xdr:col>
                    <xdr:colOff>137160</xdr:colOff>
                    <xdr:row>0</xdr:row>
                    <xdr:rowOff>76200</xdr:rowOff>
                  </from>
                  <to>
                    <xdr:col>8</xdr:col>
                    <xdr:colOff>685800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A87A3-C5E6-4699-97E6-62D0152E4DB3}">
  <sheetPr codeName="Sheet5">
    <tabColor theme="4" tint="0.59999389629810485"/>
  </sheetPr>
  <dimension ref="A1:L62"/>
  <sheetViews>
    <sheetView zoomScale="85" zoomScaleNormal="85" workbookViewId="0">
      <selection activeCell="H33" sqref="H33"/>
    </sheetView>
  </sheetViews>
  <sheetFormatPr defaultColWidth="9.109375" defaultRowHeight="14.4"/>
  <cols>
    <col min="1" max="1" width="16.33203125" style="53" customWidth="1"/>
    <col min="2" max="2" width="30.44140625" style="53" bestFit="1" customWidth="1"/>
    <col min="3" max="3" width="16.44140625" style="53" bestFit="1" customWidth="1"/>
    <col min="4" max="4" width="6.33203125" style="53" bestFit="1" customWidth="1"/>
    <col min="5" max="7" width="11.44140625" style="53" customWidth="1"/>
    <col min="8" max="8" width="13.44140625" style="53" customWidth="1"/>
    <col min="9" max="9" width="12.77734375" style="56" bestFit="1" customWidth="1"/>
    <col min="10" max="10" width="17.33203125" style="53" bestFit="1" customWidth="1"/>
    <col min="11" max="11" width="17.5546875" style="53" bestFit="1" customWidth="1"/>
    <col min="12" max="12" width="12.5546875" style="57" bestFit="1" customWidth="1"/>
    <col min="13" max="16384" width="9.109375" style="53"/>
  </cols>
  <sheetData>
    <row r="1" spans="1:12">
      <c r="H1" s="78" t="s">
        <v>3</v>
      </c>
      <c r="I1" s="10" t="s">
        <v>210</v>
      </c>
      <c r="L1" s="54"/>
    </row>
    <row r="2" spans="1:12" ht="21">
      <c r="H2" s="55" t="s">
        <v>217</v>
      </c>
      <c r="L2" s="54"/>
    </row>
    <row r="3" spans="1:12">
      <c r="E3"/>
      <c r="F3"/>
      <c r="G3"/>
      <c r="H3" s="78" t="s">
        <v>211</v>
      </c>
      <c r="I3" s="81" t="s">
        <v>212</v>
      </c>
      <c r="J3" t="s">
        <v>226</v>
      </c>
      <c r="K3"/>
      <c r="L3" s="54"/>
    </row>
    <row r="4" spans="1:12">
      <c r="B4" s="78" t="s">
        <v>3</v>
      </c>
      <c r="C4" t="s">
        <v>5</v>
      </c>
      <c r="F4"/>
      <c r="G4"/>
      <c r="H4" t="s">
        <v>236</v>
      </c>
      <c r="I4" s="10">
        <v>46680</v>
      </c>
      <c r="J4" s="95">
        <v>2</v>
      </c>
      <c r="K4"/>
      <c r="L4" s="54"/>
    </row>
    <row r="5" spans="1:12" ht="21">
      <c r="B5" s="55" t="s">
        <v>228</v>
      </c>
      <c r="C5"/>
      <c r="D5"/>
      <c r="E5"/>
      <c r="F5"/>
      <c r="G5"/>
      <c r="H5" t="s">
        <v>230</v>
      </c>
      <c r="I5" s="10">
        <v>46687</v>
      </c>
      <c r="J5" s="95">
        <v>2</v>
      </c>
      <c r="K5"/>
      <c r="L5" s="54"/>
    </row>
    <row r="6" spans="1:12">
      <c r="B6" s="78" t="s">
        <v>226</v>
      </c>
      <c r="C6" s="78" t="s">
        <v>227</v>
      </c>
      <c r="D6"/>
      <c r="E6"/>
      <c r="F6"/>
      <c r="G6"/>
      <c r="H6"/>
      <c r="I6" s="10">
        <v>46686</v>
      </c>
      <c r="J6" s="95">
        <v>2</v>
      </c>
      <c r="K6"/>
      <c r="L6" s="54"/>
    </row>
    <row r="7" spans="1:12">
      <c r="B7" s="78" t="s">
        <v>213</v>
      </c>
      <c r="C7" t="s">
        <v>223</v>
      </c>
      <c r="D7" t="s">
        <v>224</v>
      </c>
      <c r="E7" t="s">
        <v>214</v>
      </c>
      <c r="F7"/>
      <c r="G7"/>
      <c r="H7"/>
      <c r="I7" s="10">
        <v>46685</v>
      </c>
      <c r="J7" s="95">
        <v>3</v>
      </c>
      <c r="K7"/>
      <c r="L7" s="54"/>
    </row>
    <row r="8" spans="1:12">
      <c r="B8" s="27" t="s">
        <v>13</v>
      </c>
      <c r="C8" s="95">
        <v>27</v>
      </c>
      <c r="D8" s="95">
        <v>42</v>
      </c>
      <c r="E8" s="95">
        <v>69</v>
      </c>
      <c r="F8"/>
      <c r="G8"/>
      <c r="H8"/>
      <c r="I8" s="10">
        <v>46684</v>
      </c>
      <c r="J8" s="95">
        <v>2</v>
      </c>
      <c r="K8"/>
      <c r="L8" s="54"/>
    </row>
    <row r="9" spans="1:12">
      <c r="A9"/>
      <c r="B9" s="27" t="s">
        <v>18</v>
      </c>
      <c r="C9" s="95">
        <v>9</v>
      </c>
      <c r="D9" s="95">
        <v>22</v>
      </c>
      <c r="E9" s="95">
        <v>31</v>
      </c>
      <c r="F9"/>
      <c r="G9"/>
      <c r="H9"/>
      <c r="I9" s="10">
        <v>46683</v>
      </c>
      <c r="J9" s="95">
        <v>2</v>
      </c>
      <c r="K9"/>
      <c r="L9" s="54"/>
    </row>
    <row r="10" spans="1:12">
      <c r="A10"/>
      <c r="B10" s="27" t="s">
        <v>214</v>
      </c>
      <c r="C10" s="95">
        <v>36</v>
      </c>
      <c r="D10" s="95">
        <v>64</v>
      </c>
      <c r="E10" s="95">
        <v>100</v>
      </c>
      <c r="F10"/>
      <c r="G10"/>
      <c r="H10"/>
      <c r="I10" s="10">
        <v>46681</v>
      </c>
      <c r="J10" s="95">
        <v>3</v>
      </c>
      <c r="K10"/>
      <c r="L10" s="54"/>
    </row>
    <row r="11" spans="1:12">
      <c r="A11"/>
      <c r="B11"/>
      <c r="C11"/>
      <c r="D11"/>
      <c r="E11"/>
      <c r="F11"/>
      <c r="G11"/>
      <c r="H11" t="s">
        <v>231</v>
      </c>
      <c r="I11" s="10">
        <v>46694</v>
      </c>
      <c r="J11" s="95">
        <v>2</v>
      </c>
      <c r="K11"/>
      <c r="L11" s="54"/>
    </row>
    <row r="12" spans="1:12">
      <c r="A12"/>
      <c r="B12"/>
      <c r="C12"/>
      <c r="D12"/>
      <c r="E12"/>
      <c r="F12"/>
      <c r="G12"/>
      <c r="H12"/>
      <c r="I12" s="10">
        <v>46692</v>
      </c>
      <c r="J12" s="95">
        <v>1</v>
      </c>
      <c r="K12"/>
      <c r="L12" s="54"/>
    </row>
    <row r="13" spans="1:12">
      <c r="A13"/>
      <c r="B13"/>
      <c r="C13"/>
      <c r="D13"/>
      <c r="E13"/>
      <c r="F13"/>
      <c r="G13"/>
      <c r="H13"/>
      <c r="I13" s="10">
        <v>46691</v>
      </c>
      <c r="J13" s="95">
        <v>2</v>
      </c>
      <c r="K13"/>
      <c r="L13" s="54"/>
    </row>
    <row r="14" spans="1:12">
      <c r="A14"/>
      <c r="B14"/>
      <c r="C14"/>
      <c r="D14"/>
      <c r="E14"/>
      <c r="F14"/>
      <c r="G14"/>
      <c r="H14"/>
      <c r="I14" s="10">
        <v>46690</v>
      </c>
      <c r="J14" s="95">
        <v>1</v>
      </c>
      <c r="K14"/>
      <c r="L14" s="54"/>
    </row>
    <row r="15" spans="1:12">
      <c r="A15"/>
      <c r="B15"/>
      <c r="C15"/>
      <c r="D15"/>
      <c r="E15"/>
      <c r="F15"/>
      <c r="G15"/>
      <c r="H15"/>
      <c r="I15" s="10">
        <v>46689</v>
      </c>
      <c r="J15" s="95">
        <v>4</v>
      </c>
    </row>
    <row r="16" spans="1:12">
      <c r="A16"/>
      <c r="B16"/>
      <c r="C16"/>
      <c r="D16"/>
      <c r="E16"/>
      <c r="F16"/>
      <c r="G16"/>
      <c r="H16" t="s">
        <v>232</v>
      </c>
      <c r="I16" s="10">
        <v>46701</v>
      </c>
      <c r="J16" s="95">
        <v>2</v>
      </c>
    </row>
    <row r="17" spans="1:10">
      <c r="A17"/>
      <c r="B17"/>
      <c r="H17"/>
      <c r="I17" s="10">
        <v>46700</v>
      </c>
      <c r="J17" s="95">
        <v>2</v>
      </c>
    </row>
    <row r="18" spans="1:10">
      <c r="A18"/>
      <c r="B18"/>
      <c r="H18"/>
      <c r="I18" s="10">
        <v>46699</v>
      </c>
      <c r="J18" s="95">
        <v>1</v>
      </c>
    </row>
    <row r="19" spans="1:10">
      <c r="A19"/>
      <c r="B19"/>
      <c r="H19"/>
      <c r="I19" s="10">
        <v>46698</v>
      </c>
      <c r="J19" s="95">
        <v>3</v>
      </c>
    </row>
    <row r="20" spans="1:10">
      <c r="A20"/>
      <c r="B20"/>
      <c r="H20"/>
      <c r="I20" s="10">
        <v>46696</v>
      </c>
      <c r="J20" s="95">
        <v>1</v>
      </c>
    </row>
    <row r="21" spans="1:10">
      <c r="A21"/>
      <c r="B21"/>
      <c r="H21"/>
      <c r="I21" s="10">
        <v>46695</v>
      </c>
      <c r="J21" s="95">
        <v>1</v>
      </c>
    </row>
    <row r="22" spans="1:10">
      <c r="A22"/>
      <c r="B22"/>
      <c r="H22" t="s">
        <v>233</v>
      </c>
      <c r="I22" s="10">
        <v>46708</v>
      </c>
      <c r="J22" s="95">
        <v>2</v>
      </c>
    </row>
    <row r="23" spans="1:10">
      <c r="H23"/>
      <c r="I23" s="10">
        <v>46707</v>
      </c>
      <c r="J23" s="95">
        <v>3</v>
      </c>
    </row>
    <row r="24" spans="1:10">
      <c r="H24"/>
      <c r="I24" s="10">
        <v>46706</v>
      </c>
      <c r="J24" s="95">
        <v>2</v>
      </c>
    </row>
    <row r="25" spans="1:10">
      <c r="H25"/>
      <c r="I25" s="10">
        <v>46705</v>
      </c>
      <c r="J25" s="95">
        <v>1</v>
      </c>
    </row>
    <row r="26" spans="1:10">
      <c r="H26"/>
      <c r="I26" s="10">
        <v>46704</v>
      </c>
      <c r="J26" s="95">
        <v>1</v>
      </c>
    </row>
    <row r="27" spans="1:10">
      <c r="H27"/>
      <c r="I27" s="10">
        <v>46703</v>
      </c>
      <c r="J27" s="95">
        <v>3</v>
      </c>
    </row>
    <row r="28" spans="1:10">
      <c r="H28"/>
      <c r="I28" s="10">
        <v>46702</v>
      </c>
      <c r="J28" s="95">
        <v>1</v>
      </c>
    </row>
    <row r="29" spans="1:10">
      <c r="H29" t="s">
        <v>234</v>
      </c>
      <c r="I29" s="10">
        <v>46715</v>
      </c>
      <c r="J29" s="95">
        <v>1</v>
      </c>
    </row>
    <row r="30" spans="1:10">
      <c r="H30"/>
      <c r="I30" s="10">
        <v>46714</v>
      </c>
      <c r="J30" s="95">
        <v>1</v>
      </c>
    </row>
    <row r="31" spans="1:10">
      <c r="H31"/>
      <c r="I31" s="10">
        <v>46712</v>
      </c>
      <c r="J31" s="95">
        <v>1</v>
      </c>
    </row>
    <row r="32" spans="1:10">
      <c r="H32"/>
      <c r="I32" s="10">
        <v>46711</v>
      </c>
      <c r="J32" s="95">
        <v>1</v>
      </c>
    </row>
    <row r="33" spans="8:12">
      <c r="H33"/>
      <c r="I33" s="10">
        <v>46709</v>
      </c>
      <c r="J33" s="95">
        <v>1</v>
      </c>
    </row>
    <row r="34" spans="8:12">
      <c r="H34" t="s">
        <v>235</v>
      </c>
      <c r="I34" s="10">
        <v>46719</v>
      </c>
      <c r="J34" s="95">
        <v>1</v>
      </c>
    </row>
    <row r="35" spans="8:12">
      <c r="H35"/>
      <c r="I35" s="10">
        <v>46718</v>
      </c>
      <c r="J35" s="95">
        <v>2</v>
      </c>
    </row>
    <row r="36" spans="8:12">
      <c r="H36"/>
      <c r="I36" s="10">
        <v>46717</v>
      </c>
      <c r="J36" s="95">
        <v>1</v>
      </c>
    </row>
    <row r="37" spans="8:12">
      <c r="H37"/>
      <c r="I37" s="10">
        <v>46716</v>
      </c>
      <c r="J37" s="95">
        <v>2</v>
      </c>
    </row>
    <row r="38" spans="8:12">
      <c r="H38" s="10" t="s">
        <v>214</v>
      </c>
      <c r="I38" s="10"/>
      <c r="J38" s="95">
        <v>60</v>
      </c>
    </row>
    <row r="39" spans="8:12">
      <c r="H39"/>
      <c r="I39" s="10"/>
    </row>
    <row r="40" spans="8:12">
      <c r="H40"/>
      <c r="I40" s="10"/>
    </row>
    <row r="41" spans="8:12">
      <c r="H41"/>
      <c r="I41" s="10"/>
    </row>
    <row r="42" spans="8:12">
      <c r="H42"/>
      <c r="I42" s="10"/>
      <c r="L42"/>
    </row>
    <row r="43" spans="8:12">
      <c r="H43"/>
      <c r="I43" s="10"/>
      <c r="L43"/>
    </row>
    <row r="44" spans="8:12">
      <c r="H44"/>
      <c r="I44" s="10"/>
      <c r="L44"/>
    </row>
    <row r="45" spans="8:12">
      <c r="H45"/>
      <c r="I45" s="10"/>
      <c r="L45"/>
    </row>
    <row r="46" spans="8:12">
      <c r="H46"/>
      <c r="I46" s="10"/>
      <c r="L46"/>
    </row>
    <row r="47" spans="8:12">
      <c r="H47"/>
      <c r="I47" s="10"/>
      <c r="L47"/>
    </row>
    <row r="48" spans="8:12">
      <c r="H48"/>
      <c r="I48" s="10"/>
      <c r="L48"/>
    </row>
    <row r="49" spans="8:9">
      <c r="H49"/>
      <c r="I49" s="10"/>
    </row>
    <row r="50" spans="8:9">
      <c r="H50"/>
      <c r="I50" s="10"/>
    </row>
    <row r="51" spans="8:9">
      <c r="H51"/>
      <c r="I51" s="10"/>
    </row>
    <row r="52" spans="8:9">
      <c r="H52"/>
      <c r="I52" s="10"/>
    </row>
    <row r="53" spans="8:9">
      <c r="H53"/>
      <c r="I53" s="10"/>
    </row>
    <row r="54" spans="8:9">
      <c r="H54"/>
      <c r="I54" s="10"/>
    </row>
    <row r="55" spans="8:9">
      <c r="H55"/>
      <c r="I55" s="10"/>
    </row>
    <row r="56" spans="8:9">
      <c r="H56"/>
      <c r="I56" s="10"/>
    </row>
    <row r="57" spans="8:9">
      <c r="H57"/>
      <c r="I57" s="10"/>
    </row>
    <row r="58" spans="8:9">
      <c r="H58"/>
      <c r="I58" s="10"/>
    </row>
    <row r="59" spans="8:9">
      <c r="H59"/>
      <c r="I59" s="10"/>
    </row>
    <row r="60" spans="8:9">
      <c r="H60"/>
      <c r="I60" s="10"/>
    </row>
    <row r="61" spans="8:9">
      <c r="H61"/>
      <c r="I61" s="10"/>
    </row>
    <row r="62" spans="8:9">
      <c r="H62"/>
      <c r="I62"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751F2-D66B-464F-8B39-A259E59CE831}">
  <sheetPr codeName="Sheet6">
    <tabColor theme="4" tint="0.59999389629810485"/>
    <pageSetUpPr fitToPage="1"/>
  </sheetPr>
  <dimension ref="A1:AF174"/>
  <sheetViews>
    <sheetView zoomScale="80" zoomScaleNormal="80" workbookViewId="0">
      <pane ySplit="1" topLeftCell="A2" activePane="bottomLeft" state="frozen"/>
      <selection activeCell="H19" sqref="H19"/>
      <selection pane="bottomLeft" activeCell="J26" sqref="J26"/>
    </sheetView>
  </sheetViews>
  <sheetFormatPr defaultRowHeight="14.4"/>
  <cols>
    <col min="1" max="1" width="14.44140625" style="62" bestFit="1" customWidth="1"/>
    <col min="2" max="2" width="11.6640625" bestFit="1" customWidth="1"/>
    <col min="3" max="3" width="26.5546875" bestFit="1" customWidth="1"/>
    <col min="4" max="4" width="31.33203125" bestFit="1" customWidth="1"/>
    <col min="5" max="5" width="17.109375" bestFit="1" customWidth="1"/>
    <col min="6" max="6" width="10.6640625" bestFit="1" customWidth="1"/>
    <col min="7" max="7" width="16.6640625" bestFit="1" customWidth="1"/>
    <col min="8" max="8" width="13.88671875" bestFit="1" customWidth="1"/>
    <col min="9" max="9" width="14.44140625" customWidth="1"/>
    <col min="10" max="10" width="15.109375" style="76" customWidth="1"/>
    <col min="11" max="11" width="15.109375" customWidth="1"/>
    <col min="12" max="12" width="15.6640625" customWidth="1"/>
  </cols>
  <sheetData>
    <row r="1" spans="1:12" s="60" customFormat="1" ht="28.8">
      <c r="A1" s="59" t="s">
        <v>219</v>
      </c>
      <c r="B1" s="59" t="s">
        <v>3</v>
      </c>
      <c r="C1" s="59" t="s">
        <v>220</v>
      </c>
      <c r="D1" s="59" t="s">
        <v>215</v>
      </c>
      <c r="E1" s="59" t="s">
        <v>180</v>
      </c>
      <c r="F1" s="59" t="s">
        <v>418</v>
      </c>
      <c r="G1" s="59" t="s">
        <v>218</v>
      </c>
      <c r="H1" s="59" t="s">
        <v>221</v>
      </c>
      <c r="I1" s="59" t="s">
        <v>222</v>
      </c>
      <c r="J1" s="59" t="s">
        <v>212</v>
      </c>
      <c r="K1" s="59" t="s">
        <v>211</v>
      </c>
      <c r="L1" s="59" t="s">
        <v>216</v>
      </c>
    </row>
    <row r="2" spans="1:12">
      <c r="A2" s="62">
        <v>30624</v>
      </c>
      <c r="B2" s="63" t="s">
        <v>5</v>
      </c>
      <c r="C2" s="64" t="s">
        <v>273</v>
      </c>
      <c r="D2" s="66" t="s">
        <v>200</v>
      </c>
      <c r="E2" s="65" t="s">
        <v>13</v>
      </c>
      <c r="F2" s="61" t="s">
        <v>249</v>
      </c>
      <c r="G2" s="61" t="s">
        <v>223</v>
      </c>
      <c r="H2" s="68"/>
      <c r="I2" s="69">
        <f>COUNTIFS('Defect List'!$C$2:$C$161,$C2,'Defect List'!$J$2:$J$161,"&lt;&gt;")/COUNTIF('Defect List'!$C$2:$C$161,$C2)</f>
        <v>0.2857142857142857</v>
      </c>
      <c r="J2" s="67"/>
      <c r="K2" s="61" t="str">
        <f>IFERROR(IF($J2&lt;&gt;"","WK "&amp;INT(($J2- DATE(2027,1,7)) / 7) + 1&amp;" (27')",""),"Cancelled")</f>
        <v/>
      </c>
      <c r="L2" s="61" t="str">
        <f>_xlfn.XLOOKUP(A2,Search!B:B,Search!C:C,"",0)</f>
        <v/>
      </c>
    </row>
    <row r="3" spans="1:12">
      <c r="A3" s="62">
        <v>30691</v>
      </c>
      <c r="B3" s="63" t="s">
        <v>5</v>
      </c>
      <c r="C3" s="64" t="s">
        <v>274</v>
      </c>
      <c r="D3" s="66" t="s">
        <v>190</v>
      </c>
      <c r="E3" s="65" t="s">
        <v>13</v>
      </c>
      <c r="F3" s="61" t="s">
        <v>243</v>
      </c>
      <c r="G3" s="61" t="s">
        <v>224</v>
      </c>
      <c r="H3" s="68"/>
      <c r="I3" s="69">
        <f>COUNTIFS('Defect List'!$C$2:$C$161,$C3,'Defect List'!$J$2:$J$161,"&lt;&gt;")/COUNTIF('Defect List'!$C$2:$C$161,$C3)</f>
        <v>0.4</v>
      </c>
      <c r="J3" s="67"/>
      <c r="K3" s="61" t="str">
        <f t="shared" ref="K3:K66" si="0">IFERROR(IF($J3&lt;&gt;"","WK "&amp;INT(($J3- DATE(2027,1,7)) / 7) + 1&amp;" (27')",""),"Cancelled")</f>
        <v/>
      </c>
      <c r="L3" s="61" t="str">
        <f>_xlfn.XLOOKUP(A3,Search!B:B,Search!C:C,"",0)</f>
        <v/>
      </c>
    </row>
    <row r="4" spans="1:12">
      <c r="A4" s="62">
        <v>32673</v>
      </c>
      <c r="B4" s="63" t="s">
        <v>5</v>
      </c>
      <c r="C4" s="64" t="s">
        <v>275</v>
      </c>
      <c r="D4" s="66" t="s">
        <v>189</v>
      </c>
      <c r="E4" s="65" t="s">
        <v>13</v>
      </c>
      <c r="F4" s="61" t="s">
        <v>249</v>
      </c>
      <c r="G4" s="61" t="s">
        <v>224</v>
      </c>
      <c r="H4" s="68"/>
      <c r="I4" s="69">
        <f>COUNTIFS('Defect List'!$C$2:$C$161,$C4,'Defect List'!$J$2:$J$161,"&lt;&gt;")/COUNTIF('Defect List'!$C$2:$C$161,$C4)</f>
        <v>0.3125</v>
      </c>
      <c r="J4" s="67"/>
      <c r="K4" s="61" t="str">
        <f t="shared" si="0"/>
        <v/>
      </c>
      <c r="L4" s="61" t="str">
        <f>_xlfn.XLOOKUP(A4,Search!B:B,Search!C:C,"",0)</f>
        <v/>
      </c>
    </row>
    <row r="5" spans="1:12">
      <c r="A5" s="62">
        <v>32886</v>
      </c>
      <c r="B5" s="63" t="s">
        <v>5</v>
      </c>
      <c r="C5" s="64" t="s">
        <v>276</v>
      </c>
      <c r="D5" s="66" t="s">
        <v>189</v>
      </c>
      <c r="E5" s="65" t="s">
        <v>13</v>
      </c>
      <c r="F5" s="61" t="s">
        <v>249</v>
      </c>
      <c r="G5" s="61" t="s">
        <v>224</v>
      </c>
      <c r="H5" s="68"/>
      <c r="I5" s="69">
        <f>COUNTIFS('Defect List'!$C$2:$C$161,$C5,'Defect List'!$J$2:$J$161,"&lt;&gt;")/COUNTIF('Defect List'!$C$2:$C$161,$C5)</f>
        <v>0.27272727272727271</v>
      </c>
      <c r="J5" s="67"/>
      <c r="K5" s="61" t="str">
        <f t="shared" si="0"/>
        <v/>
      </c>
      <c r="L5" s="61" t="str">
        <f>_xlfn.XLOOKUP(A5,Search!B:B,Search!C:C,"",0)</f>
        <v/>
      </c>
    </row>
    <row r="6" spans="1:12">
      <c r="A6" s="62">
        <v>33444</v>
      </c>
      <c r="B6" s="63" t="s">
        <v>5</v>
      </c>
      <c r="C6" s="64" t="s">
        <v>277</v>
      </c>
      <c r="D6" s="66" t="s">
        <v>189</v>
      </c>
      <c r="E6" s="65" t="s">
        <v>13</v>
      </c>
      <c r="F6" s="61" t="s">
        <v>249</v>
      </c>
      <c r="G6" s="61" t="s">
        <v>224</v>
      </c>
      <c r="H6" s="68"/>
      <c r="I6" s="69">
        <f>COUNTIFS('Defect List'!$C$2:$C$161,$C6,'Defect List'!$J$2:$J$161,"&lt;&gt;")/COUNTIF('Defect List'!$C$2:$C$161,$C6)</f>
        <v>0.22222222222222221</v>
      </c>
      <c r="J6" s="67"/>
      <c r="K6" s="61" t="str">
        <f t="shared" si="0"/>
        <v/>
      </c>
      <c r="L6" s="61" t="str">
        <f>_xlfn.XLOOKUP(A6,Search!B:B,Search!C:C,"",0)</f>
        <v/>
      </c>
    </row>
    <row r="7" spans="1:12">
      <c r="A7" s="62">
        <v>33447</v>
      </c>
      <c r="B7" s="63" t="s">
        <v>5</v>
      </c>
      <c r="C7" s="64" t="s">
        <v>274</v>
      </c>
      <c r="D7" s="66" t="s">
        <v>189</v>
      </c>
      <c r="E7" s="65" t="s">
        <v>13</v>
      </c>
      <c r="F7" s="61" t="s">
        <v>243</v>
      </c>
      <c r="G7" s="61" t="s">
        <v>224</v>
      </c>
      <c r="H7" s="68"/>
      <c r="I7" s="69">
        <f>COUNTIFS('Defect List'!$C$2:$C$161,$C7,'Defect List'!$J$2:$J$161,"&lt;&gt;")/COUNTIF('Defect List'!$C$2:$C$161,$C7)</f>
        <v>0.4</v>
      </c>
      <c r="J7" s="67"/>
      <c r="K7" s="61" t="str">
        <f t="shared" si="0"/>
        <v/>
      </c>
      <c r="L7" s="61" t="str">
        <f>_xlfn.XLOOKUP(A7,Search!B:B,Search!C:C,"",0)</f>
        <v/>
      </c>
    </row>
    <row r="8" spans="1:12">
      <c r="A8" s="62">
        <v>33793</v>
      </c>
      <c r="B8" s="63" t="s">
        <v>5</v>
      </c>
      <c r="C8" s="64" t="s">
        <v>278</v>
      </c>
      <c r="D8" s="66" t="s">
        <v>189</v>
      </c>
      <c r="E8" s="65" t="s">
        <v>13</v>
      </c>
      <c r="F8" s="61" t="s">
        <v>255</v>
      </c>
      <c r="G8" s="61" t="s">
        <v>224</v>
      </c>
      <c r="H8" s="68"/>
      <c r="I8" s="69">
        <f>COUNTIFS('Defect List'!$C$2:$C$161,$C8,'Defect List'!$J$2:$J$161,"&lt;&gt;")/COUNTIF('Defect List'!$C$2:$C$161,$C8)</f>
        <v>0.33333333333333331</v>
      </c>
      <c r="J8" s="67"/>
      <c r="K8" s="61" t="str">
        <f t="shared" si="0"/>
        <v/>
      </c>
      <c r="L8" s="61" t="str">
        <f>_xlfn.XLOOKUP(A8,Search!B:B,Search!C:C,"",0)</f>
        <v/>
      </c>
    </row>
    <row r="9" spans="1:12">
      <c r="A9" s="62">
        <v>34006</v>
      </c>
      <c r="B9" s="63" t="s">
        <v>210</v>
      </c>
      <c r="C9" s="64" t="s">
        <v>275</v>
      </c>
      <c r="D9" s="66" t="s">
        <v>189</v>
      </c>
      <c r="E9" s="65" t="s">
        <v>13</v>
      </c>
      <c r="F9" s="61" t="s">
        <v>249</v>
      </c>
      <c r="G9" s="61" t="s">
        <v>224</v>
      </c>
      <c r="H9" s="68"/>
      <c r="I9" s="69">
        <f>COUNTIFS('Defect List'!$C$2:$C$161,$C9,'Defect List'!$J$2:$J$161,"&lt;&gt;")/COUNTIF('Defect List'!$C$2:$C$161,$C9)</f>
        <v>0.3125</v>
      </c>
      <c r="J9" s="67">
        <v>46690</v>
      </c>
      <c r="K9" s="61" t="str">
        <f t="shared" si="0"/>
        <v>WK 43 (27')</v>
      </c>
      <c r="L9" s="61" t="str">
        <f>_xlfn.XLOOKUP(A9,Search!B:B,Search!C:C,"",0)</f>
        <v/>
      </c>
    </row>
    <row r="10" spans="1:12">
      <c r="A10" s="62">
        <v>34332</v>
      </c>
      <c r="B10" s="63" t="s">
        <v>5</v>
      </c>
      <c r="C10" s="64" t="s">
        <v>275</v>
      </c>
      <c r="D10" s="66" t="s">
        <v>200</v>
      </c>
      <c r="E10" s="65" t="s">
        <v>13</v>
      </c>
      <c r="F10" s="61" t="s">
        <v>249</v>
      </c>
      <c r="G10" s="61" t="s">
        <v>223</v>
      </c>
      <c r="H10" s="68"/>
      <c r="I10" s="69">
        <f>COUNTIFS('Defect List'!$C$2:$C$161,$C10,'Defect List'!$J$2:$J$161,"&lt;&gt;")/COUNTIF('Defect List'!$C$2:$C$161,$C10)</f>
        <v>0.3125</v>
      </c>
      <c r="J10" s="67"/>
      <c r="K10" s="61" t="str">
        <f t="shared" si="0"/>
        <v/>
      </c>
      <c r="L10" s="61" t="str">
        <f>_xlfn.XLOOKUP(A10,Search!B:B,Search!C:C,"",0)</f>
        <v/>
      </c>
    </row>
    <row r="11" spans="1:12">
      <c r="A11" s="62">
        <v>36094</v>
      </c>
      <c r="B11" s="63" t="s">
        <v>5</v>
      </c>
      <c r="C11" s="64" t="s">
        <v>277</v>
      </c>
      <c r="D11" s="66" t="s">
        <v>190</v>
      </c>
      <c r="E11" s="65" t="s">
        <v>13</v>
      </c>
      <c r="F11" s="61" t="s">
        <v>249</v>
      </c>
      <c r="G11" s="61" t="s">
        <v>224</v>
      </c>
      <c r="H11" s="68"/>
      <c r="I11" s="69">
        <f>COUNTIFS('Defect List'!$C$2:$C$161,$C11,'Defect List'!$J$2:$J$161,"&lt;&gt;")/COUNTIF('Defect List'!$C$2:$C$161,$C11)</f>
        <v>0.22222222222222221</v>
      </c>
      <c r="J11" s="67"/>
      <c r="K11" s="61" t="str">
        <f t="shared" si="0"/>
        <v/>
      </c>
      <c r="L11" s="61" t="str">
        <f>_xlfn.XLOOKUP(A11,Search!B:B,Search!C:C,"",0)</f>
        <v/>
      </c>
    </row>
    <row r="12" spans="1:12">
      <c r="A12" s="62">
        <v>36547</v>
      </c>
      <c r="B12" s="63" t="s">
        <v>5</v>
      </c>
      <c r="C12" s="64" t="s">
        <v>279</v>
      </c>
      <c r="D12" s="66" t="s">
        <v>200</v>
      </c>
      <c r="E12" s="65" t="s">
        <v>18</v>
      </c>
      <c r="F12" s="61" t="s">
        <v>245</v>
      </c>
      <c r="G12" s="61" t="s">
        <v>223</v>
      </c>
      <c r="H12" s="68"/>
      <c r="I12" s="69">
        <f>COUNTIFS('Defect List'!$C$2:$C$161,$C12,'Defect List'!$J$2:$J$161,"&lt;&gt;")/COUNTIF('Defect List'!$C$2:$C$161,$C12)</f>
        <v>0.35294117647058826</v>
      </c>
      <c r="J12" s="67"/>
      <c r="K12" s="61" t="str">
        <f t="shared" si="0"/>
        <v/>
      </c>
      <c r="L12" s="61" t="str">
        <f>_xlfn.XLOOKUP(A12,Search!B:B,Search!C:C,"",0)</f>
        <v/>
      </c>
    </row>
    <row r="13" spans="1:12">
      <c r="A13" s="62">
        <v>38000</v>
      </c>
      <c r="B13" s="63" t="s">
        <v>210</v>
      </c>
      <c r="C13" s="64" t="s">
        <v>276</v>
      </c>
      <c r="D13" s="66" t="s">
        <v>190</v>
      </c>
      <c r="E13" s="65" t="s">
        <v>13</v>
      </c>
      <c r="F13" s="61" t="s">
        <v>249</v>
      </c>
      <c r="G13" s="61" t="s">
        <v>224</v>
      </c>
      <c r="H13" s="68"/>
      <c r="I13" s="69">
        <f>COUNTIFS('Defect List'!$C$2:$C$161,$C13,'Defect List'!$J$2:$J$161,"&lt;&gt;")/COUNTIF('Defect List'!$C$2:$C$161,$C13)</f>
        <v>0.27272727272727271</v>
      </c>
      <c r="J13" s="67">
        <v>46715</v>
      </c>
      <c r="K13" s="61" t="str">
        <f t="shared" si="0"/>
        <v>WK 46 (27')</v>
      </c>
      <c r="L13" s="61" t="str">
        <f>_xlfn.XLOOKUP(A13,Search!B:B,Search!C:C,"",0)</f>
        <v/>
      </c>
    </row>
    <row r="14" spans="1:12">
      <c r="A14" s="62">
        <v>39082</v>
      </c>
      <c r="B14" s="63" t="s">
        <v>5</v>
      </c>
      <c r="C14" s="64" t="s">
        <v>276</v>
      </c>
      <c r="D14" s="66" t="s">
        <v>200</v>
      </c>
      <c r="E14" s="65" t="s">
        <v>13</v>
      </c>
      <c r="F14" s="61" t="s">
        <v>249</v>
      </c>
      <c r="G14" s="61" t="s">
        <v>223</v>
      </c>
      <c r="H14" s="68"/>
      <c r="I14" s="69">
        <f>COUNTIFS('Defect List'!$C$2:$C$161,$C14,'Defect List'!$J$2:$J$161,"&lt;&gt;")/COUNTIF('Defect List'!$C$2:$C$161,$C14)</f>
        <v>0.27272727272727271</v>
      </c>
      <c r="J14" s="67"/>
      <c r="K14" s="61" t="str">
        <f t="shared" si="0"/>
        <v/>
      </c>
      <c r="L14" s="61" t="str">
        <f>_xlfn.XLOOKUP(A14,Search!B:B,Search!C:C,"",0)</f>
        <v/>
      </c>
    </row>
    <row r="15" spans="1:12">
      <c r="A15" s="62">
        <v>39541</v>
      </c>
      <c r="B15" s="63" t="s">
        <v>5</v>
      </c>
      <c r="C15" s="64" t="s">
        <v>280</v>
      </c>
      <c r="D15" s="66" t="s">
        <v>202</v>
      </c>
      <c r="E15" s="65" t="s">
        <v>13</v>
      </c>
      <c r="F15" s="61" t="s">
        <v>255</v>
      </c>
      <c r="G15" s="61" t="s">
        <v>223</v>
      </c>
      <c r="H15" s="68"/>
      <c r="I15" s="69">
        <f>COUNTIFS('Defect List'!$C$2:$C$161,$C15,'Defect List'!$J$2:$J$161,"&lt;&gt;")/COUNTIF('Defect List'!$C$2:$C$161,$C15)</f>
        <v>0.2857142857142857</v>
      </c>
      <c r="J15" s="67"/>
      <c r="K15" s="61" t="str">
        <f t="shared" si="0"/>
        <v/>
      </c>
      <c r="L15" s="61" t="str">
        <f>_xlfn.XLOOKUP(A15,Search!B:B,Search!C:C,"",0)</f>
        <v/>
      </c>
    </row>
    <row r="16" spans="1:12">
      <c r="A16" s="62">
        <v>39543</v>
      </c>
      <c r="B16" s="63" t="s">
        <v>5</v>
      </c>
      <c r="C16" s="64" t="s">
        <v>281</v>
      </c>
      <c r="D16" s="66" t="s">
        <v>187</v>
      </c>
      <c r="E16" s="65" t="s">
        <v>13</v>
      </c>
      <c r="F16" s="61" t="s">
        <v>239</v>
      </c>
      <c r="G16" s="61" t="s">
        <v>224</v>
      </c>
      <c r="H16" s="68"/>
      <c r="I16" s="69">
        <f>COUNTIFS('Defect List'!$C$2:$C$161,$C16,'Defect List'!$J$2:$J$161,"&lt;&gt;")/COUNTIF('Defect List'!$C$2:$C$161,$C16)</f>
        <v>0.33333333333333331</v>
      </c>
      <c r="J16" s="67"/>
      <c r="K16" s="61" t="str">
        <f t="shared" si="0"/>
        <v/>
      </c>
      <c r="L16" s="61" t="str">
        <f>_xlfn.XLOOKUP(A16,Search!B:B,Search!C:C,"",0)</f>
        <v/>
      </c>
    </row>
    <row r="17" spans="1:12">
      <c r="A17" s="62">
        <v>39544</v>
      </c>
      <c r="B17" s="63" t="s">
        <v>5</v>
      </c>
      <c r="C17" s="64" t="s">
        <v>282</v>
      </c>
      <c r="D17" s="66" t="s">
        <v>187</v>
      </c>
      <c r="E17" s="65" t="s">
        <v>13</v>
      </c>
      <c r="F17" s="61" t="s">
        <v>250</v>
      </c>
      <c r="G17" s="61" t="s">
        <v>224</v>
      </c>
      <c r="H17" s="68"/>
      <c r="I17" s="69">
        <f>COUNTIFS('Defect List'!$C$2:$C$161,$C17,'Defect List'!$J$2:$J$161,"&lt;&gt;")/COUNTIF('Defect List'!$C$2:$C$161,$C17)</f>
        <v>0.3</v>
      </c>
      <c r="J17" s="67"/>
      <c r="K17" s="61" t="str">
        <f t="shared" si="0"/>
        <v/>
      </c>
      <c r="L17" s="61" t="str">
        <f>_xlfn.XLOOKUP(A17,Search!B:B,Search!C:C,"",0)</f>
        <v/>
      </c>
    </row>
    <row r="18" spans="1:12">
      <c r="A18" s="62">
        <v>39546</v>
      </c>
      <c r="B18" s="63" t="s">
        <v>5</v>
      </c>
      <c r="C18" s="64" t="s">
        <v>283</v>
      </c>
      <c r="D18" s="66" t="s">
        <v>188</v>
      </c>
      <c r="E18" s="65" t="s">
        <v>13</v>
      </c>
      <c r="F18" s="61" t="s">
        <v>249</v>
      </c>
      <c r="G18" s="61" t="s">
        <v>224</v>
      </c>
      <c r="H18" s="68"/>
      <c r="I18" s="69">
        <f>COUNTIFS('Defect List'!$C$2:$C$161,$C18,'Defect List'!$J$2:$J$161,"&lt;&gt;")/COUNTIF('Defect List'!$C$2:$C$161,$C18)</f>
        <v>0</v>
      </c>
      <c r="J18" s="67"/>
      <c r="K18" s="61" t="str">
        <f t="shared" si="0"/>
        <v/>
      </c>
      <c r="L18" s="61" t="str">
        <f>_xlfn.XLOOKUP(A18,Search!B:B,Search!C:C,"",0)</f>
        <v/>
      </c>
    </row>
    <row r="19" spans="1:12">
      <c r="A19" s="62">
        <v>39548</v>
      </c>
      <c r="B19" s="63" t="s">
        <v>5</v>
      </c>
      <c r="C19" s="64" t="s">
        <v>276</v>
      </c>
      <c r="D19" s="66" t="s">
        <v>188</v>
      </c>
      <c r="E19" s="65" t="s">
        <v>13</v>
      </c>
      <c r="F19" s="61" t="s">
        <v>249</v>
      </c>
      <c r="G19" s="61" t="s">
        <v>224</v>
      </c>
      <c r="H19" s="68"/>
      <c r="I19" s="69">
        <f>COUNTIFS('Defect List'!$C$2:$C$161,$C19,'Defect List'!$J$2:$J$161,"&lt;&gt;")/COUNTIF('Defect List'!$C$2:$C$161,$C19)</f>
        <v>0.27272727272727271</v>
      </c>
      <c r="J19" s="67"/>
      <c r="K19" s="61" t="str">
        <f t="shared" si="0"/>
        <v/>
      </c>
      <c r="L19" s="61" t="str">
        <f>_xlfn.XLOOKUP(A19,Search!B:B,Search!C:C,"",0)</f>
        <v/>
      </c>
    </row>
    <row r="20" spans="1:12">
      <c r="A20" s="62">
        <v>39550</v>
      </c>
      <c r="B20" s="63" t="s">
        <v>5</v>
      </c>
      <c r="C20" s="64" t="s">
        <v>278</v>
      </c>
      <c r="D20" s="66" t="s">
        <v>188</v>
      </c>
      <c r="E20" s="65" t="s">
        <v>13</v>
      </c>
      <c r="F20" s="61" t="s">
        <v>255</v>
      </c>
      <c r="G20" s="61" t="s">
        <v>224</v>
      </c>
      <c r="H20" s="68"/>
      <c r="I20" s="69">
        <f>COUNTIFS('Defect List'!$C$2:$C$161,$C20,'Defect List'!$J$2:$J$161,"&lt;&gt;")/COUNTIF('Defect List'!$C$2:$C$161,$C20)</f>
        <v>0.33333333333333331</v>
      </c>
      <c r="J20" s="67"/>
      <c r="K20" s="61" t="str">
        <f t="shared" si="0"/>
        <v/>
      </c>
      <c r="L20" s="61" t="str">
        <f>_xlfn.XLOOKUP(A20,Search!B:B,Search!C:C,"",0)</f>
        <v/>
      </c>
    </row>
    <row r="21" spans="1:12">
      <c r="A21" s="62">
        <v>39552</v>
      </c>
      <c r="B21" s="63" t="s">
        <v>5</v>
      </c>
      <c r="C21" s="64" t="s">
        <v>284</v>
      </c>
      <c r="D21" s="66" t="s">
        <v>188</v>
      </c>
      <c r="E21" s="65" t="s">
        <v>13</v>
      </c>
      <c r="F21" s="61" t="s">
        <v>255</v>
      </c>
      <c r="G21" s="61" t="s">
        <v>224</v>
      </c>
      <c r="H21" s="68"/>
      <c r="I21" s="69">
        <f>COUNTIFS('Defect List'!$C$2:$C$161,$C21,'Defect List'!$J$2:$J$161,"&lt;&gt;")/COUNTIF('Defect List'!$C$2:$C$161,$C21)</f>
        <v>0.2857142857142857</v>
      </c>
      <c r="J21" s="67"/>
      <c r="K21" s="61" t="str">
        <f t="shared" si="0"/>
        <v/>
      </c>
      <c r="L21" s="61" t="str">
        <f>_xlfn.XLOOKUP(A21,Search!B:B,Search!C:C,"",0)</f>
        <v/>
      </c>
    </row>
    <row r="22" spans="1:12">
      <c r="A22" s="62">
        <v>39554</v>
      </c>
      <c r="B22" s="63" t="s">
        <v>5</v>
      </c>
      <c r="C22" s="64" t="s">
        <v>280</v>
      </c>
      <c r="D22" s="66" t="s">
        <v>188</v>
      </c>
      <c r="E22" s="65" t="s">
        <v>13</v>
      </c>
      <c r="F22" s="61" t="s">
        <v>255</v>
      </c>
      <c r="G22" s="61" t="s">
        <v>224</v>
      </c>
      <c r="H22" s="68"/>
      <c r="I22" s="69">
        <f>COUNTIFS('Defect List'!$C$2:$C$161,$C22,'Defect List'!$J$2:$J$161,"&lt;&gt;")/COUNTIF('Defect List'!$C$2:$C$161,$C22)</f>
        <v>0.2857142857142857</v>
      </c>
      <c r="J22" s="67"/>
      <c r="K22" s="61" t="str">
        <f t="shared" si="0"/>
        <v/>
      </c>
      <c r="L22" s="61" t="str">
        <f>_xlfn.XLOOKUP(A22,Search!B:B,Search!C:C,"",0)</f>
        <v/>
      </c>
    </row>
    <row r="23" spans="1:12">
      <c r="A23" s="62">
        <v>39556</v>
      </c>
      <c r="B23" s="63" t="s">
        <v>5</v>
      </c>
      <c r="C23" s="64" t="s">
        <v>285</v>
      </c>
      <c r="D23" s="66" t="s">
        <v>203</v>
      </c>
      <c r="E23" s="65" t="s">
        <v>13</v>
      </c>
      <c r="F23" s="61" t="s">
        <v>249</v>
      </c>
      <c r="G23" s="61" t="s">
        <v>223</v>
      </c>
      <c r="H23" s="68"/>
      <c r="I23" s="69">
        <f>COUNTIFS('Defect List'!$C$2:$C$161,$C23,'Defect List'!$J$2:$J$161,"&lt;&gt;")/COUNTIF('Defect List'!$C$2:$C$161,$C23)</f>
        <v>0</v>
      </c>
      <c r="J23" s="67"/>
      <c r="K23" s="61" t="str">
        <f t="shared" si="0"/>
        <v/>
      </c>
      <c r="L23" s="61" t="str">
        <f>_xlfn.XLOOKUP(A23,Search!B:B,Search!C:C,"",0)</f>
        <v/>
      </c>
    </row>
    <row r="24" spans="1:12">
      <c r="A24" s="62">
        <v>39557</v>
      </c>
      <c r="B24" s="63" t="s">
        <v>5</v>
      </c>
      <c r="C24" s="64" t="s">
        <v>273</v>
      </c>
      <c r="D24" s="66" t="s">
        <v>203</v>
      </c>
      <c r="E24" s="65" t="s">
        <v>13</v>
      </c>
      <c r="F24" s="61" t="s">
        <v>249</v>
      </c>
      <c r="G24" s="61" t="s">
        <v>223</v>
      </c>
      <c r="H24" s="68"/>
      <c r="I24" s="69">
        <f>COUNTIFS('Defect List'!$C$2:$C$161,$C24,'Defect List'!$J$2:$J$161,"&lt;&gt;")/COUNTIF('Defect List'!$C$2:$C$161,$C24)</f>
        <v>0.2857142857142857</v>
      </c>
      <c r="J24" s="67"/>
      <c r="K24" s="61" t="str">
        <f t="shared" si="0"/>
        <v/>
      </c>
      <c r="L24" s="61" t="str">
        <f>_xlfn.XLOOKUP(A24,Search!B:B,Search!C:C,"",0)</f>
        <v/>
      </c>
    </row>
    <row r="25" spans="1:12">
      <c r="A25" s="62">
        <v>39558</v>
      </c>
      <c r="B25" s="63" t="s">
        <v>5</v>
      </c>
      <c r="C25" s="64" t="s">
        <v>275</v>
      </c>
      <c r="D25" s="66" t="s">
        <v>203</v>
      </c>
      <c r="E25" s="65" t="s">
        <v>13</v>
      </c>
      <c r="F25" s="61" t="s">
        <v>249</v>
      </c>
      <c r="G25" s="61" t="s">
        <v>223</v>
      </c>
      <c r="H25" s="68"/>
      <c r="I25" s="69">
        <f>COUNTIFS('Defect List'!$C$2:$C$161,$C25,'Defect List'!$J$2:$J$161,"&lt;&gt;")/COUNTIF('Defect List'!$C$2:$C$161,$C25)</f>
        <v>0.3125</v>
      </c>
      <c r="J25" s="67"/>
      <c r="K25" s="61" t="str">
        <f t="shared" si="0"/>
        <v/>
      </c>
      <c r="L25" s="61" t="str">
        <f>_xlfn.XLOOKUP(A25,Search!B:B,Search!C:C,"",0)</f>
        <v/>
      </c>
    </row>
    <row r="26" spans="1:12">
      <c r="A26" s="62">
        <v>40233</v>
      </c>
      <c r="B26" s="63" t="s">
        <v>5</v>
      </c>
      <c r="C26" s="64" t="s">
        <v>276</v>
      </c>
      <c r="D26" s="66" t="s">
        <v>203</v>
      </c>
      <c r="E26" s="65" t="s">
        <v>13</v>
      </c>
      <c r="F26" s="61" t="s">
        <v>249</v>
      </c>
      <c r="G26" s="61" t="s">
        <v>223</v>
      </c>
      <c r="H26" s="68"/>
      <c r="I26" s="69">
        <f>COUNTIFS('Defect List'!$C$2:$C$161,$C26,'Defect List'!$J$2:$J$161,"&lt;&gt;")/COUNTIF('Defect List'!$C$2:$C$161,$C26)</f>
        <v>0.27272727272727271</v>
      </c>
      <c r="J26" s="67"/>
      <c r="K26" s="61" t="str">
        <f t="shared" si="0"/>
        <v/>
      </c>
      <c r="L26" s="61" t="str">
        <f>_xlfn.XLOOKUP(A26,Search!B:B,Search!C:C,"",0)</f>
        <v/>
      </c>
    </row>
    <row r="27" spans="1:12">
      <c r="A27" s="62">
        <v>40234</v>
      </c>
      <c r="B27" s="63" t="s">
        <v>5</v>
      </c>
      <c r="C27" s="64" t="s">
        <v>282</v>
      </c>
      <c r="D27" s="66" t="s">
        <v>203</v>
      </c>
      <c r="E27" s="65" t="s">
        <v>13</v>
      </c>
      <c r="F27" s="61" t="s">
        <v>250</v>
      </c>
      <c r="G27" s="61" t="s">
        <v>223</v>
      </c>
      <c r="H27" s="68"/>
      <c r="I27" s="69">
        <f>COUNTIFS('Defect List'!$C$2:$C$161,$C27,'Defect List'!$J$2:$J$161,"&lt;&gt;")/COUNTIF('Defect List'!$C$2:$C$161,$C27)</f>
        <v>0.3</v>
      </c>
      <c r="J27" s="67"/>
      <c r="K27" s="61" t="str">
        <f t="shared" si="0"/>
        <v/>
      </c>
      <c r="L27" s="61" t="str">
        <f>_xlfn.XLOOKUP(A27,Search!B:B,Search!C:C,"",0)</f>
        <v/>
      </c>
    </row>
    <row r="28" spans="1:12">
      <c r="A28" s="62">
        <v>40235</v>
      </c>
      <c r="B28" s="63" t="s">
        <v>5</v>
      </c>
      <c r="C28" s="64" t="s">
        <v>286</v>
      </c>
      <c r="D28" s="66" t="s">
        <v>203</v>
      </c>
      <c r="E28" s="65" t="s">
        <v>13</v>
      </c>
      <c r="F28" s="61" t="s">
        <v>265</v>
      </c>
      <c r="G28" s="61" t="s">
        <v>223</v>
      </c>
      <c r="H28" s="68"/>
      <c r="I28" s="69">
        <f>COUNTIFS('Defect List'!$C$2:$C$161,$C28,'Defect List'!$J$2:$J$161,"&lt;&gt;")/COUNTIF('Defect List'!$C$2:$C$161,$C28)</f>
        <v>0.25</v>
      </c>
      <c r="J28" s="67"/>
      <c r="K28" s="61" t="str">
        <f t="shared" si="0"/>
        <v/>
      </c>
      <c r="L28" s="61" t="str">
        <f>_xlfn.XLOOKUP(A28,Search!B:B,Search!C:C,"",0)</f>
        <v/>
      </c>
    </row>
    <row r="29" spans="1:12">
      <c r="A29" s="62">
        <v>40236</v>
      </c>
      <c r="B29" s="63" t="s">
        <v>5</v>
      </c>
      <c r="C29" s="64" t="s">
        <v>283</v>
      </c>
      <c r="D29" s="66" t="s">
        <v>186</v>
      </c>
      <c r="E29" s="65" t="s">
        <v>13</v>
      </c>
      <c r="F29" s="61" t="s">
        <v>249</v>
      </c>
      <c r="G29" s="61" t="s">
        <v>224</v>
      </c>
      <c r="H29" s="68"/>
      <c r="I29" s="69">
        <f>COUNTIFS('Defect List'!$C$2:$C$161,$C29,'Defect List'!$J$2:$J$161,"&lt;&gt;")/COUNTIF('Defect List'!$C$2:$C$161,$C29)</f>
        <v>0</v>
      </c>
      <c r="J29" s="67"/>
      <c r="K29" s="61" t="str">
        <f t="shared" si="0"/>
        <v/>
      </c>
      <c r="L29" s="61" t="str">
        <f>_xlfn.XLOOKUP(A29,Search!B:B,Search!C:C,"",0)</f>
        <v/>
      </c>
    </row>
    <row r="30" spans="1:12">
      <c r="A30" s="62">
        <v>40237</v>
      </c>
      <c r="B30" s="63" t="s">
        <v>5</v>
      </c>
      <c r="C30" s="64" t="s">
        <v>275</v>
      </c>
      <c r="D30" s="66" t="s">
        <v>186</v>
      </c>
      <c r="E30" s="65" t="s">
        <v>13</v>
      </c>
      <c r="F30" s="61" t="s">
        <v>249</v>
      </c>
      <c r="G30" s="61" t="s">
        <v>224</v>
      </c>
      <c r="H30" s="68"/>
      <c r="I30" s="69">
        <f>COUNTIFS('Defect List'!$C$2:$C$161,$C30,'Defect List'!$J$2:$J$161,"&lt;&gt;")/COUNTIF('Defect List'!$C$2:$C$161,$C30)</f>
        <v>0.3125</v>
      </c>
      <c r="J30" s="67"/>
      <c r="K30" s="61" t="str">
        <f t="shared" si="0"/>
        <v/>
      </c>
      <c r="L30" s="61" t="str">
        <f>_xlfn.XLOOKUP(A30,Search!B:B,Search!C:C,"",0)</f>
        <v/>
      </c>
    </row>
    <row r="31" spans="1:12">
      <c r="A31" s="62">
        <v>40240</v>
      </c>
      <c r="B31" s="63" t="s">
        <v>5</v>
      </c>
      <c r="C31" s="64" t="s">
        <v>277</v>
      </c>
      <c r="D31" s="66" t="s">
        <v>186</v>
      </c>
      <c r="E31" s="65" t="s">
        <v>13</v>
      </c>
      <c r="F31" s="61" t="s">
        <v>249</v>
      </c>
      <c r="G31" s="61" t="s">
        <v>224</v>
      </c>
      <c r="H31" s="68"/>
      <c r="I31" s="69">
        <f>COUNTIFS('Defect List'!$C$2:$C$161,$C31,'Defect List'!$J$2:$J$161,"&lt;&gt;")/COUNTIF('Defect List'!$C$2:$C$161,$C31)</f>
        <v>0.22222222222222221</v>
      </c>
      <c r="J31" s="67"/>
      <c r="K31" s="61" t="str">
        <f t="shared" si="0"/>
        <v/>
      </c>
      <c r="L31" s="61" t="str">
        <f>_xlfn.XLOOKUP(A31,Search!B:B,Search!C:C,"",0)</f>
        <v/>
      </c>
    </row>
    <row r="32" spans="1:12">
      <c r="A32" s="62">
        <v>40242</v>
      </c>
      <c r="B32" s="63" t="s">
        <v>5</v>
      </c>
      <c r="C32" s="64" t="s">
        <v>282</v>
      </c>
      <c r="D32" s="66" t="s">
        <v>186</v>
      </c>
      <c r="E32" s="65" t="s">
        <v>13</v>
      </c>
      <c r="F32" s="61" t="s">
        <v>250</v>
      </c>
      <c r="G32" s="61" t="s">
        <v>224</v>
      </c>
      <c r="H32" s="68"/>
      <c r="I32" s="69">
        <f>COUNTIFS('Defect List'!$C$2:$C$161,$C32,'Defect List'!$J$2:$J$161,"&lt;&gt;")/COUNTIF('Defect List'!$C$2:$C$161,$C32)</f>
        <v>0.3</v>
      </c>
      <c r="J32" s="67"/>
      <c r="K32" s="61" t="str">
        <f t="shared" si="0"/>
        <v/>
      </c>
      <c r="L32" s="61" t="str">
        <f>_xlfn.XLOOKUP(A32,Search!B:B,Search!C:C,"",0)</f>
        <v/>
      </c>
    </row>
    <row r="33" spans="1:12">
      <c r="A33" s="62">
        <v>40244</v>
      </c>
      <c r="B33" s="63" t="s">
        <v>5</v>
      </c>
      <c r="C33" s="64" t="s">
        <v>274</v>
      </c>
      <c r="D33" s="66" t="s">
        <v>186</v>
      </c>
      <c r="E33" s="65" t="s">
        <v>13</v>
      </c>
      <c r="F33" s="61" t="s">
        <v>243</v>
      </c>
      <c r="G33" s="61" t="s">
        <v>224</v>
      </c>
      <c r="H33" s="68"/>
      <c r="I33" s="69">
        <f>COUNTIFS('Defect List'!$C$2:$C$161,$C33,'Defect List'!$J$2:$J$161,"&lt;&gt;")/COUNTIF('Defect List'!$C$2:$C$161,$C33)</f>
        <v>0.4</v>
      </c>
      <c r="J33" s="67"/>
      <c r="K33" s="61" t="str">
        <f t="shared" si="0"/>
        <v/>
      </c>
      <c r="L33" s="61" t="str">
        <f>_xlfn.XLOOKUP(A33,Search!B:B,Search!C:C,"",0)</f>
        <v/>
      </c>
    </row>
    <row r="34" spans="1:12">
      <c r="A34" s="62">
        <v>40248</v>
      </c>
      <c r="B34" s="63" t="s">
        <v>5</v>
      </c>
      <c r="C34" s="64" t="s">
        <v>281</v>
      </c>
      <c r="D34" s="66" t="s">
        <v>199</v>
      </c>
      <c r="E34" s="65" t="s">
        <v>13</v>
      </c>
      <c r="F34" s="61" t="s">
        <v>239</v>
      </c>
      <c r="G34" s="61" t="s">
        <v>224</v>
      </c>
      <c r="H34" s="68"/>
      <c r="I34" s="69">
        <f>COUNTIFS('Defect List'!$C$2:$C$161,$C34,'Defect List'!$J$2:$J$161,"&lt;&gt;")/COUNTIF('Defect List'!$C$2:$C$161,$C34)</f>
        <v>0.33333333333333331</v>
      </c>
      <c r="J34" s="67"/>
      <c r="K34" s="61" t="str">
        <f t="shared" si="0"/>
        <v/>
      </c>
      <c r="L34" s="61" t="str">
        <f>_xlfn.XLOOKUP(A34,Search!B:B,Search!C:C,"",0)</f>
        <v/>
      </c>
    </row>
    <row r="35" spans="1:12">
      <c r="A35" s="62">
        <v>40249</v>
      </c>
      <c r="B35" s="63" t="s">
        <v>5</v>
      </c>
      <c r="C35" s="64" t="s">
        <v>282</v>
      </c>
      <c r="D35" s="66" t="s">
        <v>199</v>
      </c>
      <c r="E35" s="65" t="s">
        <v>13</v>
      </c>
      <c r="F35" s="61" t="s">
        <v>250</v>
      </c>
      <c r="G35" s="61" t="s">
        <v>224</v>
      </c>
      <c r="H35" s="68"/>
      <c r="I35" s="69">
        <f>COUNTIFS('Defect List'!$C$2:$C$161,$C35,'Defect List'!$J$2:$J$161,"&lt;&gt;")/COUNTIF('Defect List'!$C$2:$C$161,$C35)</f>
        <v>0.3</v>
      </c>
      <c r="J35" s="67"/>
      <c r="K35" s="61" t="str">
        <f t="shared" si="0"/>
        <v/>
      </c>
      <c r="L35" s="61" t="str">
        <f>_xlfn.XLOOKUP(A35,Search!B:B,Search!C:C,"",0)</f>
        <v/>
      </c>
    </row>
    <row r="36" spans="1:12">
      <c r="A36" s="62">
        <v>40250</v>
      </c>
      <c r="B36" s="63" t="s">
        <v>5</v>
      </c>
      <c r="C36" s="64" t="s">
        <v>274</v>
      </c>
      <c r="D36" s="66" t="s">
        <v>199</v>
      </c>
      <c r="E36" s="65" t="s">
        <v>13</v>
      </c>
      <c r="F36" s="61" t="s">
        <v>243</v>
      </c>
      <c r="G36" s="61" t="s">
        <v>224</v>
      </c>
      <c r="H36" s="68"/>
      <c r="I36" s="69">
        <f>COUNTIFS('Defect List'!$C$2:$C$161,$C36,'Defect List'!$J$2:$J$161,"&lt;&gt;")/COUNTIF('Defect List'!$C$2:$C$161,$C36)</f>
        <v>0.4</v>
      </c>
      <c r="J36" s="67"/>
      <c r="K36" s="61" t="str">
        <f t="shared" si="0"/>
        <v/>
      </c>
      <c r="L36" s="61" t="str">
        <f>_xlfn.XLOOKUP(A36,Search!B:B,Search!C:C,"",0)</f>
        <v/>
      </c>
    </row>
    <row r="37" spans="1:12">
      <c r="A37" s="62">
        <v>40251</v>
      </c>
      <c r="B37" s="63" t="s">
        <v>5</v>
      </c>
      <c r="C37" s="64" t="s">
        <v>273</v>
      </c>
      <c r="D37" s="66" t="s">
        <v>196</v>
      </c>
      <c r="E37" s="65" t="s">
        <v>13</v>
      </c>
      <c r="F37" s="61" t="s">
        <v>249</v>
      </c>
      <c r="G37" s="61" t="s">
        <v>224</v>
      </c>
      <c r="H37" s="68"/>
      <c r="I37" s="69">
        <f>COUNTIFS('Defect List'!$C$2:$C$161,$C37,'Defect List'!$J$2:$J$161,"&lt;&gt;")/COUNTIF('Defect List'!$C$2:$C$161,$C37)</f>
        <v>0.2857142857142857</v>
      </c>
      <c r="J37" s="67"/>
      <c r="K37" s="61" t="str">
        <f t="shared" si="0"/>
        <v/>
      </c>
      <c r="L37" s="61" t="str">
        <f>_xlfn.XLOOKUP(A37,Search!B:B,Search!C:C,"",0)</f>
        <v/>
      </c>
    </row>
    <row r="38" spans="1:12">
      <c r="A38" s="62">
        <v>40253</v>
      </c>
      <c r="B38" s="63" t="s">
        <v>5</v>
      </c>
      <c r="C38" s="64" t="s">
        <v>275</v>
      </c>
      <c r="D38" s="66" t="s">
        <v>196</v>
      </c>
      <c r="E38" s="65" t="s">
        <v>13</v>
      </c>
      <c r="F38" s="61" t="s">
        <v>249</v>
      </c>
      <c r="G38" s="61" t="s">
        <v>224</v>
      </c>
      <c r="H38" s="68"/>
      <c r="I38" s="69">
        <f>COUNTIFS('Defect List'!$C$2:$C$161,$C38,'Defect List'!$J$2:$J$161,"&lt;&gt;")/COUNTIF('Defect List'!$C$2:$C$161,$C38)</f>
        <v>0.3125</v>
      </c>
      <c r="J38" s="67"/>
      <c r="K38" s="61" t="str">
        <f t="shared" si="0"/>
        <v/>
      </c>
      <c r="L38" s="61" t="str">
        <f>_xlfn.XLOOKUP(A38,Search!B:B,Search!C:C,"",0)</f>
        <v/>
      </c>
    </row>
    <row r="39" spans="1:12">
      <c r="A39" s="62">
        <v>40254</v>
      </c>
      <c r="B39" s="63" t="s">
        <v>5</v>
      </c>
      <c r="C39" s="64" t="s">
        <v>276</v>
      </c>
      <c r="D39" s="66" t="s">
        <v>196</v>
      </c>
      <c r="E39" s="65" t="s">
        <v>13</v>
      </c>
      <c r="F39" s="61" t="s">
        <v>249</v>
      </c>
      <c r="G39" s="61" t="s">
        <v>224</v>
      </c>
      <c r="H39" s="68"/>
      <c r="I39" s="69">
        <f>COUNTIFS('Defect List'!$C$2:$C$161,$C39,'Defect List'!$J$2:$J$161,"&lt;&gt;")/COUNTIF('Defect List'!$C$2:$C$161,$C39)</f>
        <v>0.27272727272727271</v>
      </c>
      <c r="J39" s="67"/>
      <c r="K39" s="61" t="str">
        <f t="shared" si="0"/>
        <v/>
      </c>
      <c r="L39" s="61" t="str">
        <f>_xlfn.XLOOKUP(A39,Search!B:B,Search!C:C,"",0)</f>
        <v/>
      </c>
    </row>
    <row r="40" spans="1:12">
      <c r="A40" s="62">
        <v>40457</v>
      </c>
      <c r="B40" s="63" t="s">
        <v>5</v>
      </c>
      <c r="C40" s="64" t="s">
        <v>275</v>
      </c>
      <c r="D40" s="66" t="s">
        <v>190</v>
      </c>
      <c r="E40" s="65" t="s">
        <v>13</v>
      </c>
      <c r="F40" s="61" t="s">
        <v>249</v>
      </c>
      <c r="G40" s="61" t="s">
        <v>224</v>
      </c>
      <c r="H40" s="68"/>
      <c r="I40" s="69">
        <f>COUNTIFS('Defect List'!$C$2:$C$161,$C40,'Defect List'!$J$2:$J$161,"&lt;&gt;")/COUNTIF('Defect List'!$C$2:$C$161,$C40)</f>
        <v>0.3125</v>
      </c>
      <c r="J40" s="67"/>
      <c r="K40" s="61" t="str">
        <f t="shared" si="0"/>
        <v/>
      </c>
      <c r="L40" s="61" t="str">
        <f>_xlfn.XLOOKUP(A40,Search!B:B,Search!C:C,"",0)</f>
        <v/>
      </c>
    </row>
    <row r="41" spans="1:12">
      <c r="A41" s="62">
        <v>41044</v>
      </c>
      <c r="B41" s="63" t="s">
        <v>5</v>
      </c>
      <c r="C41" s="64" t="s">
        <v>276</v>
      </c>
      <c r="D41" s="66" t="s">
        <v>187</v>
      </c>
      <c r="E41" s="65" t="s">
        <v>13</v>
      </c>
      <c r="F41" s="61" t="s">
        <v>249</v>
      </c>
      <c r="G41" s="61" t="s">
        <v>224</v>
      </c>
      <c r="H41" s="68"/>
      <c r="I41" s="69">
        <f>COUNTIFS('Defect List'!$C$2:$C$161,$C41,'Defect List'!$J$2:$J$161,"&lt;&gt;")/COUNTIF('Defect List'!$C$2:$C$161,$C41)</f>
        <v>0.27272727272727271</v>
      </c>
      <c r="J41" s="67"/>
      <c r="K41" s="61" t="str">
        <f t="shared" si="0"/>
        <v/>
      </c>
      <c r="L41" s="61" t="str">
        <f>_xlfn.XLOOKUP(A41,Search!B:B,Search!C:C,"",0)</f>
        <v/>
      </c>
    </row>
    <row r="42" spans="1:12">
      <c r="A42" s="62">
        <v>41530</v>
      </c>
      <c r="B42" s="63" t="s">
        <v>210</v>
      </c>
      <c r="C42" s="64" t="s">
        <v>274</v>
      </c>
      <c r="D42" s="66" t="s">
        <v>200</v>
      </c>
      <c r="E42" s="65" t="s">
        <v>13</v>
      </c>
      <c r="F42" s="61" t="s">
        <v>243</v>
      </c>
      <c r="G42" s="61" t="s">
        <v>223</v>
      </c>
      <c r="H42" s="68"/>
      <c r="I42" s="69">
        <f>COUNTIFS('Defect List'!$C$2:$C$161,$C42,'Defect List'!$J$2:$J$161,"&lt;&gt;")/COUNTIF('Defect List'!$C$2:$C$161,$C42)</f>
        <v>0.4</v>
      </c>
      <c r="J42" s="67">
        <v>46706</v>
      </c>
      <c r="K42" s="61" t="str">
        <f t="shared" si="0"/>
        <v>WK 45 (27')</v>
      </c>
      <c r="L42" s="61" t="str">
        <f>_xlfn.XLOOKUP(A42,Search!B:B,Search!C:C,"",0)</f>
        <v/>
      </c>
    </row>
    <row r="43" spans="1:12">
      <c r="A43" s="62">
        <v>41531</v>
      </c>
      <c r="B43" s="63" t="s">
        <v>210</v>
      </c>
      <c r="C43" s="64" t="s">
        <v>284</v>
      </c>
      <c r="D43" s="66" t="s">
        <v>188</v>
      </c>
      <c r="E43" s="65" t="s">
        <v>13</v>
      </c>
      <c r="F43" s="61" t="s">
        <v>255</v>
      </c>
      <c r="G43" s="61" t="s">
        <v>224</v>
      </c>
      <c r="H43" s="68"/>
      <c r="I43" s="69">
        <f>COUNTIFS('Defect List'!$C$2:$C$161,$C43,'Defect List'!$J$2:$J$161,"&lt;&gt;")/COUNTIF('Defect List'!$C$2:$C$161,$C43)</f>
        <v>0.2857142857142857</v>
      </c>
      <c r="J43" s="67">
        <v>46685</v>
      </c>
      <c r="K43" s="61" t="str">
        <f t="shared" si="0"/>
        <v>WK 42 (27')</v>
      </c>
      <c r="L43" s="61" t="str">
        <f>_xlfn.XLOOKUP(A43,Search!B:B,Search!C:C,"",0)</f>
        <v/>
      </c>
    </row>
    <row r="44" spans="1:12">
      <c r="A44" s="62">
        <v>41532</v>
      </c>
      <c r="B44" s="63" t="s">
        <v>210</v>
      </c>
      <c r="C44" s="64" t="s">
        <v>275</v>
      </c>
      <c r="D44" s="66" t="s">
        <v>201</v>
      </c>
      <c r="E44" s="65" t="s">
        <v>13</v>
      </c>
      <c r="F44" s="61" t="s">
        <v>249</v>
      </c>
      <c r="G44" s="61" t="s">
        <v>223</v>
      </c>
      <c r="H44" s="68"/>
      <c r="I44" s="69">
        <f>COUNTIFS('Defect List'!$C$2:$C$161,$C44,'Defect List'!$J$2:$J$161,"&lt;&gt;")/COUNTIF('Defect List'!$C$2:$C$161,$C44)</f>
        <v>0.3125</v>
      </c>
      <c r="J44" s="67">
        <v>46717</v>
      </c>
      <c r="K44" s="61" t="str">
        <f t="shared" si="0"/>
        <v>WK 47 (27')</v>
      </c>
      <c r="L44" s="61" t="str">
        <f>_xlfn.XLOOKUP(A44,Search!B:B,Search!C:C,"",0)</f>
        <v/>
      </c>
    </row>
    <row r="45" spans="1:12">
      <c r="A45" s="62">
        <v>41533</v>
      </c>
      <c r="B45" s="63" t="s">
        <v>210</v>
      </c>
      <c r="C45" s="64" t="s">
        <v>276</v>
      </c>
      <c r="D45" s="66" t="s">
        <v>200</v>
      </c>
      <c r="E45" s="65" t="s">
        <v>13</v>
      </c>
      <c r="F45" s="61" t="s">
        <v>249</v>
      </c>
      <c r="G45" s="61" t="s">
        <v>223</v>
      </c>
      <c r="H45" s="68"/>
      <c r="I45" s="69">
        <f>COUNTIFS('Defect List'!$C$2:$C$161,$C45,'Defect List'!$J$2:$J$161,"&lt;&gt;")/COUNTIF('Defect List'!$C$2:$C$161,$C45)</f>
        <v>0.27272727272727271</v>
      </c>
      <c r="J45" s="67">
        <v>46701</v>
      </c>
      <c r="K45" s="61" t="str">
        <f t="shared" si="0"/>
        <v>WK 44 (27')</v>
      </c>
      <c r="L45" s="61" t="str">
        <f>_xlfn.XLOOKUP(A45,Search!B:B,Search!C:C,"",0)</f>
        <v/>
      </c>
    </row>
    <row r="46" spans="1:12">
      <c r="A46" s="62">
        <v>41534</v>
      </c>
      <c r="B46" s="63" t="s">
        <v>210</v>
      </c>
      <c r="C46" s="64" t="s">
        <v>277</v>
      </c>
      <c r="D46" s="66" t="s">
        <v>203</v>
      </c>
      <c r="E46" s="65" t="s">
        <v>13</v>
      </c>
      <c r="F46" s="61" t="s">
        <v>249</v>
      </c>
      <c r="G46" s="61" t="s">
        <v>223</v>
      </c>
      <c r="H46" s="68"/>
      <c r="I46" s="69">
        <f>COUNTIFS('Defect List'!$C$2:$C$161,$C46,'Defect List'!$J$2:$J$161,"&lt;&gt;")/COUNTIF('Defect List'!$C$2:$C$161,$C46)</f>
        <v>0.22222222222222221</v>
      </c>
      <c r="J46" s="67">
        <v>46703</v>
      </c>
      <c r="K46" s="61" t="str">
        <f t="shared" si="0"/>
        <v>WK 45 (27')</v>
      </c>
      <c r="L46" s="61" t="str">
        <f>_xlfn.XLOOKUP(A46,Search!B:B,Search!C:C,"",0)</f>
        <v/>
      </c>
    </row>
    <row r="47" spans="1:12">
      <c r="A47" s="62">
        <v>41535</v>
      </c>
      <c r="B47" s="63" t="s">
        <v>210</v>
      </c>
      <c r="C47" s="64" t="s">
        <v>281</v>
      </c>
      <c r="D47" s="66" t="s">
        <v>188</v>
      </c>
      <c r="E47" s="65" t="s">
        <v>13</v>
      </c>
      <c r="F47" s="61" t="s">
        <v>239</v>
      </c>
      <c r="G47" s="61" t="s">
        <v>224</v>
      </c>
      <c r="H47" s="68"/>
      <c r="I47" s="69">
        <f>COUNTIFS('Defect List'!$C$2:$C$161,$C47,'Defect List'!$J$2:$J$161,"&lt;&gt;")/COUNTIF('Defect List'!$C$2:$C$161,$C47)</f>
        <v>0.33333333333333331</v>
      </c>
      <c r="J47" s="67">
        <v>46684</v>
      </c>
      <c r="K47" s="61" t="str">
        <f t="shared" si="0"/>
        <v>WK 42 (27')</v>
      </c>
      <c r="L47" s="61" t="str">
        <f>_xlfn.XLOOKUP(A47,Search!B:B,Search!C:C,"",0)</f>
        <v/>
      </c>
    </row>
    <row r="48" spans="1:12">
      <c r="A48" s="62">
        <v>41536</v>
      </c>
      <c r="B48" s="63" t="s">
        <v>210</v>
      </c>
      <c r="C48" s="64" t="s">
        <v>282</v>
      </c>
      <c r="D48" s="66" t="s">
        <v>201</v>
      </c>
      <c r="E48" s="65" t="s">
        <v>13</v>
      </c>
      <c r="F48" s="61" t="s">
        <v>250</v>
      </c>
      <c r="G48" s="61" t="s">
        <v>223</v>
      </c>
      <c r="H48" s="68"/>
      <c r="I48" s="69">
        <f>COUNTIFS('Defect List'!$C$2:$C$161,$C48,'Defect List'!$J$2:$J$161,"&lt;&gt;")/COUNTIF('Defect List'!$C$2:$C$161,$C48)</f>
        <v>0.3</v>
      </c>
      <c r="J48" s="67">
        <v>46698</v>
      </c>
      <c r="K48" s="61" t="str">
        <f t="shared" si="0"/>
        <v>WK 44 (27')</v>
      </c>
      <c r="L48" s="61" t="str">
        <f>_xlfn.XLOOKUP(A48,Search!B:B,Search!C:C,"",0)</f>
        <v/>
      </c>
    </row>
    <row r="49" spans="1:12">
      <c r="A49" s="62">
        <v>41539</v>
      </c>
      <c r="B49" s="63" t="s">
        <v>5</v>
      </c>
      <c r="C49" s="64" t="s">
        <v>277</v>
      </c>
      <c r="D49" s="66" t="s">
        <v>196</v>
      </c>
      <c r="E49" s="65" t="s">
        <v>13</v>
      </c>
      <c r="F49" s="61" t="s">
        <v>249</v>
      </c>
      <c r="G49" s="61" t="s">
        <v>224</v>
      </c>
      <c r="H49" s="68"/>
      <c r="I49" s="69">
        <f>COUNTIFS('Defect List'!$C$2:$C$161,$C49,'Defect List'!$J$2:$J$161,"&lt;&gt;")/COUNTIF('Defect List'!$C$2:$C$161,$C49)</f>
        <v>0.22222222222222221</v>
      </c>
      <c r="J49" s="67"/>
      <c r="K49" s="61" t="str">
        <f t="shared" si="0"/>
        <v/>
      </c>
      <c r="L49" s="61" t="str">
        <f>_xlfn.XLOOKUP(A49,Search!B:B,Search!C:C,"",0)</f>
        <v/>
      </c>
    </row>
    <row r="50" spans="1:12">
      <c r="A50" s="62">
        <v>41540</v>
      </c>
      <c r="B50" s="63" t="s">
        <v>5</v>
      </c>
      <c r="C50" s="64" t="s">
        <v>274</v>
      </c>
      <c r="D50" s="66" t="s">
        <v>196</v>
      </c>
      <c r="E50" s="65" t="s">
        <v>13</v>
      </c>
      <c r="F50" s="61" t="s">
        <v>243</v>
      </c>
      <c r="G50" s="61" t="s">
        <v>224</v>
      </c>
      <c r="H50" s="68"/>
      <c r="I50" s="69">
        <f>COUNTIFS('Defect List'!$C$2:$C$161,$C50,'Defect List'!$J$2:$J$161,"&lt;&gt;")/COUNTIF('Defect List'!$C$2:$C$161,$C50)</f>
        <v>0.4</v>
      </c>
      <c r="J50" s="67"/>
      <c r="K50" s="61" t="str">
        <f t="shared" si="0"/>
        <v/>
      </c>
      <c r="L50" s="61" t="str">
        <f>_xlfn.XLOOKUP(A50,Search!B:B,Search!C:C,"",0)</f>
        <v/>
      </c>
    </row>
    <row r="51" spans="1:12">
      <c r="A51" s="62">
        <v>41541</v>
      </c>
      <c r="B51" s="63" t="s">
        <v>5</v>
      </c>
      <c r="C51" s="64" t="s">
        <v>275</v>
      </c>
      <c r="D51" s="66" t="s">
        <v>204</v>
      </c>
      <c r="E51" s="65" t="s">
        <v>13</v>
      </c>
      <c r="F51" s="61" t="s">
        <v>249</v>
      </c>
      <c r="G51" s="61" t="s">
        <v>223</v>
      </c>
      <c r="H51" s="68"/>
      <c r="I51" s="69">
        <f>COUNTIFS('Defect List'!$C$2:$C$161,$C51,'Defect List'!$J$2:$J$161,"&lt;&gt;")/COUNTIF('Defect List'!$C$2:$C$161,$C51)</f>
        <v>0.3125</v>
      </c>
      <c r="J51" s="67"/>
      <c r="K51" s="61" t="str">
        <f t="shared" si="0"/>
        <v/>
      </c>
      <c r="L51" s="61" t="str">
        <f>_xlfn.XLOOKUP(A51,Search!B:B,Search!C:C,"",0)</f>
        <v/>
      </c>
    </row>
    <row r="52" spans="1:12">
      <c r="A52" s="62">
        <v>41542</v>
      </c>
      <c r="B52" s="63" t="s">
        <v>5</v>
      </c>
      <c r="C52" s="64" t="s">
        <v>282</v>
      </c>
      <c r="D52" s="66" t="s">
        <v>204</v>
      </c>
      <c r="E52" s="65" t="s">
        <v>13</v>
      </c>
      <c r="F52" s="61" t="s">
        <v>250</v>
      </c>
      <c r="G52" s="61" t="s">
        <v>223</v>
      </c>
      <c r="H52" s="68"/>
      <c r="I52" s="69">
        <f>COUNTIFS('Defect List'!$C$2:$C$161,$C52,'Defect List'!$J$2:$J$161,"&lt;&gt;")/COUNTIF('Defect List'!$C$2:$C$161,$C52)</f>
        <v>0.3</v>
      </c>
      <c r="J52" s="67"/>
      <c r="K52" s="61" t="str">
        <f t="shared" si="0"/>
        <v/>
      </c>
      <c r="L52" s="61" t="str">
        <f>_xlfn.XLOOKUP(A52,Search!B:B,Search!C:C,"",0)</f>
        <v/>
      </c>
    </row>
    <row r="53" spans="1:12">
      <c r="A53" s="62">
        <v>41543</v>
      </c>
      <c r="B53" s="63" t="s">
        <v>5</v>
      </c>
      <c r="C53" s="64" t="s">
        <v>274</v>
      </c>
      <c r="D53" s="66" t="s">
        <v>204</v>
      </c>
      <c r="E53" s="65" t="s">
        <v>13</v>
      </c>
      <c r="F53" s="61" t="s">
        <v>243</v>
      </c>
      <c r="G53" s="61" t="s">
        <v>223</v>
      </c>
      <c r="H53" s="68"/>
      <c r="I53" s="69">
        <f>COUNTIFS('Defect List'!$C$2:$C$161,$C53,'Defect List'!$J$2:$J$161,"&lt;&gt;")/COUNTIF('Defect List'!$C$2:$C$161,$C53)</f>
        <v>0.4</v>
      </c>
      <c r="J53" s="67"/>
      <c r="K53" s="61" t="str">
        <f t="shared" si="0"/>
        <v/>
      </c>
      <c r="L53" s="61" t="str">
        <f>_xlfn.XLOOKUP(A53,Search!B:B,Search!C:C,"",0)</f>
        <v/>
      </c>
    </row>
    <row r="54" spans="1:12">
      <c r="A54" s="62">
        <v>41544</v>
      </c>
      <c r="B54" s="63" t="s">
        <v>5</v>
      </c>
      <c r="C54" s="64" t="s">
        <v>284</v>
      </c>
      <c r="D54" s="66" t="s">
        <v>204</v>
      </c>
      <c r="E54" s="65" t="s">
        <v>13</v>
      </c>
      <c r="F54" s="61" t="s">
        <v>255</v>
      </c>
      <c r="G54" s="61" t="s">
        <v>223</v>
      </c>
      <c r="H54" s="68"/>
      <c r="I54" s="69">
        <f>COUNTIFS('Defect List'!$C$2:$C$161,$C54,'Defect List'!$J$2:$J$161,"&lt;&gt;")/COUNTIF('Defect List'!$C$2:$C$161,$C54)</f>
        <v>0.2857142857142857</v>
      </c>
      <c r="J54" s="67"/>
      <c r="K54" s="61" t="str">
        <f t="shared" si="0"/>
        <v/>
      </c>
      <c r="L54" s="61" t="str">
        <f>_xlfn.XLOOKUP(A54,Search!B:B,Search!C:C,"",0)</f>
        <v/>
      </c>
    </row>
    <row r="55" spans="1:12">
      <c r="A55" s="62">
        <v>41545</v>
      </c>
      <c r="B55" s="63" t="s">
        <v>5</v>
      </c>
      <c r="C55" s="64" t="s">
        <v>280</v>
      </c>
      <c r="D55" s="66" t="s">
        <v>204</v>
      </c>
      <c r="E55" s="65" t="s">
        <v>13</v>
      </c>
      <c r="F55" s="61" t="s">
        <v>255</v>
      </c>
      <c r="G55" s="61" t="s">
        <v>223</v>
      </c>
      <c r="H55" s="68"/>
      <c r="I55" s="69">
        <f>COUNTIFS('Defect List'!$C$2:$C$161,$C55,'Defect List'!$J$2:$J$161,"&lt;&gt;")/COUNTIF('Defect List'!$C$2:$C$161,$C55)</f>
        <v>0.2857142857142857</v>
      </c>
      <c r="J55" s="67"/>
      <c r="K55" s="61" t="str">
        <f t="shared" si="0"/>
        <v/>
      </c>
      <c r="L55" s="61" t="str">
        <f>_xlfn.XLOOKUP(A55,Search!B:B,Search!C:C,"",0)</f>
        <v/>
      </c>
    </row>
    <row r="56" spans="1:12">
      <c r="A56" s="62">
        <v>41546</v>
      </c>
      <c r="B56" s="63" t="s">
        <v>5</v>
      </c>
      <c r="C56" s="64" t="s">
        <v>275</v>
      </c>
      <c r="D56" s="66" t="s">
        <v>201</v>
      </c>
      <c r="E56" s="65" t="s">
        <v>13</v>
      </c>
      <c r="F56" s="61" t="s">
        <v>249</v>
      </c>
      <c r="G56" s="61" t="s">
        <v>223</v>
      </c>
      <c r="H56" s="68"/>
      <c r="I56" s="69">
        <f>COUNTIFS('Defect List'!$C$2:$C$161,$C56,'Defect List'!$J$2:$J$161,"&lt;&gt;")/COUNTIF('Defect List'!$C$2:$C$161,$C56)</f>
        <v>0.3125</v>
      </c>
      <c r="J56" s="67"/>
      <c r="K56" s="61" t="str">
        <f t="shared" si="0"/>
        <v/>
      </c>
      <c r="L56" s="61" t="str">
        <f>_xlfn.XLOOKUP(A56,Search!B:B,Search!C:C,"",0)</f>
        <v/>
      </c>
    </row>
    <row r="57" spans="1:12">
      <c r="A57" s="62">
        <v>41547</v>
      </c>
      <c r="B57" s="63" t="s">
        <v>5</v>
      </c>
      <c r="C57" s="64" t="s">
        <v>277</v>
      </c>
      <c r="D57" s="66" t="s">
        <v>201</v>
      </c>
      <c r="E57" s="65" t="s">
        <v>13</v>
      </c>
      <c r="F57" s="61" t="s">
        <v>249</v>
      </c>
      <c r="G57" s="61" t="s">
        <v>223</v>
      </c>
      <c r="H57" s="68"/>
      <c r="I57" s="69">
        <f>COUNTIFS('Defect List'!$C$2:$C$161,$C57,'Defect List'!$J$2:$J$161,"&lt;&gt;")/COUNTIF('Defect List'!$C$2:$C$161,$C57)</f>
        <v>0.22222222222222221</v>
      </c>
      <c r="J57" s="67"/>
      <c r="K57" s="61" t="str">
        <f t="shared" si="0"/>
        <v/>
      </c>
      <c r="L57" s="61" t="str">
        <f>_xlfn.XLOOKUP(A57,Search!B:B,Search!C:C,"",0)</f>
        <v/>
      </c>
    </row>
    <row r="58" spans="1:12">
      <c r="A58" s="62">
        <v>41548</v>
      </c>
      <c r="B58" s="63" t="s">
        <v>5</v>
      </c>
      <c r="C58" s="64" t="s">
        <v>282</v>
      </c>
      <c r="D58" s="66" t="s">
        <v>201</v>
      </c>
      <c r="E58" s="65" t="s">
        <v>13</v>
      </c>
      <c r="F58" s="61" t="s">
        <v>250</v>
      </c>
      <c r="G58" s="61" t="s">
        <v>223</v>
      </c>
      <c r="H58" s="68"/>
      <c r="I58" s="69">
        <f>COUNTIFS('Defect List'!$C$2:$C$161,$C58,'Defect List'!$J$2:$J$161,"&lt;&gt;")/COUNTIF('Defect List'!$C$2:$C$161,$C58)</f>
        <v>0.3</v>
      </c>
      <c r="J58" s="67"/>
      <c r="K58" s="61" t="str">
        <f t="shared" si="0"/>
        <v/>
      </c>
      <c r="L58" s="61" t="str">
        <f>_xlfn.XLOOKUP(A58,Search!B:B,Search!C:C,"",0)</f>
        <v/>
      </c>
    </row>
    <row r="59" spans="1:12">
      <c r="A59" s="62">
        <v>41549</v>
      </c>
      <c r="B59" s="63" t="s">
        <v>5</v>
      </c>
      <c r="C59" s="64" t="s">
        <v>284</v>
      </c>
      <c r="D59" s="66" t="s">
        <v>201</v>
      </c>
      <c r="E59" s="65" t="s">
        <v>13</v>
      </c>
      <c r="F59" s="61" t="s">
        <v>255</v>
      </c>
      <c r="G59" s="61" t="s">
        <v>223</v>
      </c>
      <c r="H59" s="68"/>
      <c r="I59" s="69">
        <f>COUNTIFS('Defect List'!$C$2:$C$161,$C59,'Defect List'!$J$2:$J$161,"&lt;&gt;")/COUNTIF('Defect List'!$C$2:$C$161,$C59)</f>
        <v>0.2857142857142857</v>
      </c>
      <c r="J59" s="67"/>
      <c r="K59" s="61" t="str">
        <f t="shared" si="0"/>
        <v/>
      </c>
      <c r="L59" s="61" t="str">
        <f>_xlfn.XLOOKUP(A59,Search!B:B,Search!C:C,"",0)</f>
        <v/>
      </c>
    </row>
    <row r="60" spans="1:12">
      <c r="A60" s="62">
        <v>41550</v>
      </c>
      <c r="B60" s="63" t="s">
        <v>5</v>
      </c>
      <c r="C60" s="64" t="s">
        <v>286</v>
      </c>
      <c r="D60" s="66" t="s">
        <v>201</v>
      </c>
      <c r="E60" s="65" t="s">
        <v>13</v>
      </c>
      <c r="F60" s="61" t="s">
        <v>265</v>
      </c>
      <c r="G60" s="61" t="s">
        <v>223</v>
      </c>
      <c r="H60" s="68"/>
      <c r="I60" s="69">
        <f>COUNTIFS('Defect List'!$C$2:$C$161,$C60,'Defect List'!$J$2:$J$161,"&lt;&gt;")/COUNTIF('Defect List'!$C$2:$C$161,$C60)</f>
        <v>0.25</v>
      </c>
      <c r="J60" s="67"/>
      <c r="K60" s="61" t="str">
        <f t="shared" si="0"/>
        <v/>
      </c>
      <c r="L60" s="61" t="str">
        <f>_xlfn.XLOOKUP(A60,Search!B:B,Search!C:C,"",0)</f>
        <v/>
      </c>
    </row>
    <row r="61" spans="1:12">
      <c r="A61" s="62">
        <v>41551</v>
      </c>
      <c r="B61" s="63" t="s">
        <v>5</v>
      </c>
      <c r="C61" s="64" t="s">
        <v>273</v>
      </c>
      <c r="D61" s="66" t="s">
        <v>197</v>
      </c>
      <c r="E61" s="65" t="s">
        <v>13</v>
      </c>
      <c r="F61" s="61" t="s">
        <v>249</v>
      </c>
      <c r="G61" s="61" t="s">
        <v>224</v>
      </c>
      <c r="H61" s="68"/>
      <c r="I61" s="69">
        <f>COUNTIFS('Defect List'!$C$2:$C$161,$C61,'Defect List'!$J$2:$J$161,"&lt;&gt;")/COUNTIF('Defect List'!$C$2:$C$161,$C61)</f>
        <v>0.2857142857142857</v>
      </c>
      <c r="J61" s="67"/>
      <c r="K61" s="61" t="str">
        <f t="shared" si="0"/>
        <v/>
      </c>
      <c r="L61" s="61" t="str">
        <f>_xlfn.XLOOKUP(A61,Search!B:B,Search!C:C,"",0)</f>
        <v/>
      </c>
    </row>
    <row r="62" spans="1:12">
      <c r="A62" s="62">
        <v>42008</v>
      </c>
      <c r="B62" s="63" t="s">
        <v>5</v>
      </c>
      <c r="C62" s="64" t="s">
        <v>275</v>
      </c>
      <c r="D62" s="66" t="s">
        <v>195</v>
      </c>
      <c r="E62" s="65" t="s">
        <v>13</v>
      </c>
      <c r="F62" s="61" t="s">
        <v>249</v>
      </c>
      <c r="G62" s="61" t="s">
        <v>224</v>
      </c>
      <c r="H62" s="68"/>
      <c r="I62" s="69">
        <f>COUNTIFS('Defect List'!$C$2:$C$161,$C62,'Defect List'!$J$2:$J$161,"&lt;&gt;")/COUNTIF('Defect List'!$C$2:$C$161,$C62)</f>
        <v>0.3125</v>
      </c>
      <c r="J62" s="67"/>
      <c r="K62" s="61" t="str">
        <f t="shared" si="0"/>
        <v/>
      </c>
      <c r="L62" s="61" t="str">
        <f>_xlfn.XLOOKUP(A62,Search!B:B,Search!C:C,"",0)</f>
        <v/>
      </c>
    </row>
    <row r="63" spans="1:12">
      <c r="A63" s="62">
        <v>42009</v>
      </c>
      <c r="B63" s="63" t="s">
        <v>5</v>
      </c>
      <c r="C63" s="64" t="s">
        <v>274</v>
      </c>
      <c r="D63" s="66" t="s">
        <v>195</v>
      </c>
      <c r="E63" s="65" t="s">
        <v>13</v>
      </c>
      <c r="F63" s="61" t="s">
        <v>243</v>
      </c>
      <c r="G63" s="61" t="s">
        <v>224</v>
      </c>
      <c r="H63" s="68"/>
      <c r="I63" s="69">
        <f>COUNTIFS('Defect List'!$C$2:$C$161,$C63,'Defect List'!$J$2:$J$161,"&lt;&gt;")/COUNTIF('Defect List'!$C$2:$C$161,$C63)</f>
        <v>0.4</v>
      </c>
      <c r="J63" s="67"/>
      <c r="K63" s="61" t="str">
        <f t="shared" si="0"/>
        <v/>
      </c>
      <c r="L63" s="61" t="str">
        <f>_xlfn.XLOOKUP(A63,Search!B:B,Search!C:C,"",0)</f>
        <v/>
      </c>
    </row>
    <row r="64" spans="1:12">
      <c r="A64" s="62">
        <v>42015</v>
      </c>
      <c r="B64" s="63" t="s">
        <v>5</v>
      </c>
      <c r="C64" s="64" t="s">
        <v>278</v>
      </c>
      <c r="D64" s="66" t="s">
        <v>195</v>
      </c>
      <c r="E64" s="65" t="s">
        <v>13</v>
      </c>
      <c r="F64" s="61" t="s">
        <v>255</v>
      </c>
      <c r="G64" s="61" t="s">
        <v>224</v>
      </c>
      <c r="H64" s="68"/>
      <c r="I64" s="69">
        <f>COUNTIFS('Defect List'!$C$2:$C$161,$C64,'Defect List'!$J$2:$J$161,"&lt;&gt;")/COUNTIF('Defect List'!$C$2:$C$161,$C64)</f>
        <v>0.33333333333333331</v>
      </c>
      <c r="J64" s="67"/>
      <c r="K64" s="61" t="str">
        <f t="shared" si="0"/>
        <v/>
      </c>
      <c r="L64" s="61" t="str">
        <f>_xlfn.XLOOKUP(A64,Search!B:B,Search!C:C,"",0)</f>
        <v/>
      </c>
    </row>
    <row r="65" spans="1:12">
      <c r="A65" s="62">
        <v>42016</v>
      </c>
      <c r="B65" s="63" t="s">
        <v>5</v>
      </c>
      <c r="C65" s="64" t="s">
        <v>273</v>
      </c>
      <c r="D65" s="66" t="s">
        <v>202</v>
      </c>
      <c r="E65" s="65" t="s">
        <v>13</v>
      </c>
      <c r="F65" s="61" t="s">
        <v>249</v>
      </c>
      <c r="G65" s="61" t="s">
        <v>223</v>
      </c>
      <c r="H65" s="68"/>
      <c r="I65" s="69">
        <f>COUNTIFS('Defect List'!$C$2:$C$161,$C65,'Defect List'!$J$2:$J$161,"&lt;&gt;")/COUNTIF('Defect List'!$C$2:$C$161,$C65)</f>
        <v>0.2857142857142857</v>
      </c>
      <c r="J65" s="67"/>
      <c r="K65" s="61" t="str">
        <f t="shared" si="0"/>
        <v/>
      </c>
      <c r="L65" s="61" t="str">
        <f>_xlfn.XLOOKUP(A65,Search!B:B,Search!C:C,"",0)</f>
        <v/>
      </c>
    </row>
    <row r="66" spans="1:12">
      <c r="A66" s="62">
        <v>42019</v>
      </c>
      <c r="B66" s="63" t="s">
        <v>210</v>
      </c>
      <c r="C66" s="64" t="s">
        <v>273</v>
      </c>
      <c r="D66" s="66" t="s">
        <v>188</v>
      </c>
      <c r="E66" s="65" t="s">
        <v>13</v>
      </c>
      <c r="F66" s="61" t="s">
        <v>249</v>
      </c>
      <c r="G66" s="61" t="s">
        <v>224</v>
      </c>
      <c r="H66" s="68"/>
      <c r="I66" s="69">
        <f>COUNTIFS('Defect List'!$C$2:$C$161,$C66,'Defect List'!$J$2:$J$161,"&lt;&gt;")/COUNTIF('Defect List'!$C$2:$C$161,$C66)</f>
        <v>0.2857142857142857</v>
      </c>
      <c r="J66" s="67">
        <v>46691</v>
      </c>
      <c r="K66" s="61" t="str">
        <f t="shared" si="0"/>
        <v>WK 43 (27')</v>
      </c>
      <c r="L66" s="61" t="str">
        <f>_xlfn.XLOOKUP(A66,Search!B:B,Search!C:C,"",0)</f>
        <v/>
      </c>
    </row>
    <row r="67" spans="1:12">
      <c r="A67" s="62">
        <v>42045</v>
      </c>
      <c r="B67" s="63" t="s">
        <v>210</v>
      </c>
      <c r="C67" s="64" t="s">
        <v>274</v>
      </c>
      <c r="D67" s="66" t="s">
        <v>200</v>
      </c>
      <c r="E67" s="65" t="s">
        <v>13</v>
      </c>
      <c r="F67" s="61" t="s">
        <v>243</v>
      </c>
      <c r="G67" s="61" t="s">
        <v>223</v>
      </c>
      <c r="H67" s="68"/>
      <c r="I67" s="69">
        <f>COUNTIFS('Defect List'!$C$2:$C$161,$C67,'Defect List'!$J$2:$J$161,"&lt;&gt;")/COUNTIF('Defect List'!$C$2:$C$161,$C67)</f>
        <v>0.4</v>
      </c>
      <c r="J67" s="67">
        <v>46698</v>
      </c>
      <c r="K67" s="61" t="str">
        <f t="shared" ref="K67:K130" si="1">IFERROR(IF($J67&lt;&gt;"","WK "&amp;INT(($J67- DATE(2027,1,7)) / 7) + 1&amp;" (27')",""),"Cancelled")</f>
        <v>WK 44 (27')</v>
      </c>
      <c r="L67" s="61" t="str">
        <f>_xlfn.XLOOKUP(A67,Search!B:B,Search!C:C,"",0)</f>
        <v/>
      </c>
    </row>
    <row r="68" spans="1:12">
      <c r="A68" s="62">
        <v>42048</v>
      </c>
      <c r="B68" s="63" t="s">
        <v>210</v>
      </c>
      <c r="C68" s="64" t="s">
        <v>275</v>
      </c>
      <c r="D68" s="66" t="s">
        <v>203</v>
      </c>
      <c r="E68" s="65" t="s">
        <v>13</v>
      </c>
      <c r="F68" s="61" t="s">
        <v>249</v>
      </c>
      <c r="G68" s="61" t="s">
        <v>223</v>
      </c>
      <c r="H68" s="68"/>
      <c r="I68" s="69">
        <f>COUNTIFS('Defect List'!$C$2:$C$161,$C68,'Defect List'!$J$2:$J$161,"&lt;&gt;")/COUNTIF('Defect List'!$C$2:$C$161,$C68)</f>
        <v>0.3125</v>
      </c>
      <c r="J68" s="67">
        <v>46706</v>
      </c>
      <c r="K68" s="61" t="str">
        <f t="shared" si="1"/>
        <v>WK 45 (27')</v>
      </c>
      <c r="L68" s="61" t="str">
        <f>_xlfn.XLOOKUP(A68,Search!B:B,Search!C:C,"",0)</f>
        <v/>
      </c>
    </row>
    <row r="69" spans="1:12">
      <c r="A69" s="62">
        <v>43108</v>
      </c>
      <c r="B69" s="63" t="s">
        <v>5</v>
      </c>
      <c r="C69" s="64" t="s">
        <v>280</v>
      </c>
      <c r="D69" s="66" t="s">
        <v>189</v>
      </c>
      <c r="E69" s="65" t="s">
        <v>13</v>
      </c>
      <c r="F69" s="61" t="s">
        <v>255</v>
      </c>
      <c r="G69" s="61" t="s">
        <v>224</v>
      </c>
      <c r="H69" s="68"/>
      <c r="I69" s="69">
        <f>COUNTIFS('Defect List'!$C$2:$C$161,$C69,'Defect List'!$J$2:$J$161,"&lt;&gt;")/COUNTIF('Defect List'!$C$2:$C$161,$C69)</f>
        <v>0.2857142857142857</v>
      </c>
      <c r="J69" s="67"/>
      <c r="K69" s="61" t="str">
        <f t="shared" si="1"/>
        <v/>
      </c>
      <c r="L69" s="61" t="str">
        <f>_xlfn.XLOOKUP(A69,Search!B:B,Search!C:C,"",0)</f>
        <v/>
      </c>
    </row>
    <row r="70" spans="1:12">
      <c r="A70" s="62">
        <v>43113</v>
      </c>
      <c r="B70" s="63" t="s">
        <v>210</v>
      </c>
      <c r="C70" s="64" t="s">
        <v>278</v>
      </c>
      <c r="D70" s="66" t="s">
        <v>200</v>
      </c>
      <c r="E70" s="65" t="s">
        <v>13</v>
      </c>
      <c r="F70" s="61" t="s">
        <v>255</v>
      </c>
      <c r="G70" s="61" t="s">
        <v>223</v>
      </c>
      <c r="H70" s="68"/>
      <c r="I70" s="69">
        <f>COUNTIFS('Defect List'!$C$2:$C$161,$C70,'Defect List'!$J$2:$J$161,"&lt;&gt;")/COUNTIF('Defect List'!$C$2:$C$161,$C70)</f>
        <v>0.33333333333333331</v>
      </c>
      <c r="J70" s="67">
        <v>46683</v>
      </c>
      <c r="K70" s="61" t="str">
        <f t="shared" si="1"/>
        <v>WK 42 (27')</v>
      </c>
      <c r="L70" s="61" t="str">
        <f>_xlfn.XLOOKUP(A70,Search!B:B,Search!C:C,"",0)</f>
        <v/>
      </c>
    </row>
    <row r="71" spans="1:12">
      <c r="A71" s="62">
        <v>43745</v>
      </c>
      <c r="B71" s="63" t="s">
        <v>5</v>
      </c>
      <c r="C71" s="64" t="s">
        <v>284</v>
      </c>
      <c r="D71" s="66" t="s">
        <v>186</v>
      </c>
      <c r="E71" s="65" t="s">
        <v>13</v>
      </c>
      <c r="F71" s="61" t="s">
        <v>255</v>
      </c>
      <c r="G71" s="61" t="s">
        <v>224</v>
      </c>
      <c r="H71" s="68"/>
      <c r="I71" s="69">
        <f>COUNTIFS('Defect List'!$C$2:$C$161,$C71,'Defect List'!$J$2:$J$161,"&lt;&gt;")/COUNTIF('Defect List'!$C$2:$C$161,$C71)</f>
        <v>0.2857142857142857</v>
      </c>
      <c r="J71" s="67"/>
      <c r="K71" s="61" t="str">
        <f t="shared" si="1"/>
        <v/>
      </c>
      <c r="L71" s="61" t="str">
        <f>_xlfn.XLOOKUP(A71,Search!B:B,Search!C:C,"",0)</f>
        <v/>
      </c>
    </row>
    <row r="72" spans="1:12">
      <c r="A72" s="62">
        <v>49073</v>
      </c>
      <c r="B72" s="63" t="s">
        <v>5</v>
      </c>
      <c r="C72" s="64" t="s">
        <v>287</v>
      </c>
      <c r="D72" s="66" t="s">
        <v>193</v>
      </c>
      <c r="E72" s="65" t="s">
        <v>18</v>
      </c>
      <c r="F72" s="61" t="s">
        <v>239</v>
      </c>
      <c r="G72" s="61" t="s">
        <v>224</v>
      </c>
      <c r="H72" s="68"/>
      <c r="I72" s="69">
        <f>COUNTIFS('Defect List'!$C$2:$C$161,$C72,'Defect List'!$J$2:$J$161,"&lt;&gt;")/COUNTIF('Defect List'!$C$2:$C$161,$C72)</f>
        <v>0.3</v>
      </c>
      <c r="J72" s="67"/>
      <c r="K72" s="61" t="str">
        <f t="shared" si="1"/>
        <v/>
      </c>
      <c r="L72" s="61" t="str">
        <f>_xlfn.XLOOKUP(A72,Search!B:B,Search!C:C,"",0)</f>
        <v/>
      </c>
    </row>
    <row r="73" spans="1:12">
      <c r="A73" s="62">
        <v>49113</v>
      </c>
      <c r="B73" s="63" t="s">
        <v>5</v>
      </c>
      <c r="C73" s="64" t="s">
        <v>288</v>
      </c>
      <c r="D73" s="66" t="s">
        <v>193</v>
      </c>
      <c r="E73" s="65" t="s">
        <v>18</v>
      </c>
      <c r="F73" s="61" t="s">
        <v>247</v>
      </c>
      <c r="G73" s="61" t="s">
        <v>224</v>
      </c>
      <c r="H73" s="68"/>
      <c r="I73" s="69">
        <f>COUNTIFS('Defect List'!$C$2:$C$161,$C73,'Defect List'!$J$2:$J$161,"&lt;&gt;")/COUNTIF('Defect List'!$C$2:$C$161,$C73)</f>
        <v>0.5</v>
      </c>
      <c r="J73" s="67"/>
      <c r="K73" s="61" t="str">
        <f t="shared" si="1"/>
        <v/>
      </c>
      <c r="L73" s="61" t="str">
        <f>_xlfn.XLOOKUP(A73,Search!B:B,Search!C:C,"",0)</f>
        <v/>
      </c>
    </row>
    <row r="74" spans="1:12">
      <c r="A74" s="62">
        <v>49507</v>
      </c>
      <c r="B74" s="63" t="s">
        <v>5</v>
      </c>
      <c r="C74" s="64" t="s">
        <v>289</v>
      </c>
      <c r="D74" s="66" t="s">
        <v>203</v>
      </c>
      <c r="E74" s="65" t="s">
        <v>18</v>
      </c>
      <c r="F74" s="61" t="s">
        <v>239</v>
      </c>
      <c r="G74" s="61" t="s">
        <v>223</v>
      </c>
      <c r="H74" s="68"/>
      <c r="I74" s="69">
        <f>COUNTIFS('Defect List'!$C$2:$C$161,$C74,'Defect List'!$J$2:$J$161,"&lt;&gt;")/COUNTIF('Defect List'!$C$2:$C$161,$C74)</f>
        <v>0.4</v>
      </c>
      <c r="J74" s="67"/>
      <c r="K74" s="61" t="str">
        <f t="shared" si="1"/>
        <v/>
      </c>
      <c r="L74" s="61" t="str">
        <f>_xlfn.XLOOKUP(A74,Search!B:B,Search!C:C,"",0)</f>
        <v/>
      </c>
    </row>
    <row r="75" spans="1:12">
      <c r="A75" s="62">
        <v>49531</v>
      </c>
      <c r="B75" s="63" t="s">
        <v>5</v>
      </c>
      <c r="C75" s="64" t="s">
        <v>279</v>
      </c>
      <c r="D75" s="66" t="s">
        <v>193</v>
      </c>
      <c r="E75" s="65" t="s">
        <v>18</v>
      </c>
      <c r="F75" s="61" t="s">
        <v>245</v>
      </c>
      <c r="G75" s="61" t="s">
        <v>224</v>
      </c>
      <c r="H75" s="68"/>
      <c r="I75" s="69">
        <f>COUNTIFS('Defect List'!$C$2:$C$161,$C75,'Defect List'!$J$2:$J$161,"&lt;&gt;")/COUNTIF('Defect List'!$C$2:$C$161,$C75)</f>
        <v>0.35294117647058826</v>
      </c>
      <c r="J75" s="67"/>
      <c r="K75" s="61" t="str">
        <f t="shared" si="1"/>
        <v/>
      </c>
      <c r="L75" s="61" t="str">
        <f>_xlfn.XLOOKUP(A75,Search!B:B,Search!C:C,"",0)</f>
        <v/>
      </c>
    </row>
    <row r="76" spans="1:12">
      <c r="A76" s="62">
        <v>49671</v>
      </c>
      <c r="B76" s="63" t="s">
        <v>210</v>
      </c>
      <c r="C76" s="64" t="s">
        <v>289</v>
      </c>
      <c r="D76" s="66" t="s">
        <v>190</v>
      </c>
      <c r="E76" s="65" t="s">
        <v>18</v>
      </c>
      <c r="F76" s="61" t="s">
        <v>239</v>
      </c>
      <c r="G76" s="61" t="s">
        <v>224</v>
      </c>
      <c r="H76" s="68"/>
      <c r="I76" s="69">
        <f>COUNTIFS('Defect List'!$C$2:$C$161,$C76,'Defect List'!$J$2:$J$161,"&lt;&gt;")/COUNTIF('Defect List'!$C$2:$C$161,$C76)</f>
        <v>0.4</v>
      </c>
      <c r="J76" s="67">
        <v>46716</v>
      </c>
      <c r="K76" s="61" t="str">
        <f t="shared" si="1"/>
        <v>WK 47 (27')</v>
      </c>
      <c r="L76" s="61" t="str">
        <f>_xlfn.XLOOKUP(A76,Search!B:B,Search!C:C,"",0)</f>
        <v/>
      </c>
    </row>
    <row r="77" spans="1:12">
      <c r="A77" s="62">
        <v>49727</v>
      </c>
      <c r="B77" s="63" t="s">
        <v>210</v>
      </c>
      <c r="C77" s="64" t="s">
        <v>279</v>
      </c>
      <c r="D77" s="66" t="s">
        <v>189</v>
      </c>
      <c r="E77" s="65" t="s">
        <v>18</v>
      </c>
      <c r="F77" s="61" t="s">
        <v>245</v>
      </c>
      <c r="G77" s="61" t="s">
        <v>224</v>
      </c>
      <c r="H77" s="68"/>
      <c r="I77" s="69">
        <f>COUNTIFS('Defect List'!$C$2:$C$161,$C77,'Defect List'!$J$2:$J$161,"&lt;&gt;")/COUNTIF('Defect List'!$C$2:$C$161,$C77)</f>
        <v>0.35294117647058826</v>
      </c>
      <c r="J77" s="67">
        <v>46692</v>
      </c>
      <c r="K77" s="61" t="str">
        <f t="shared" si="1"/>
        <v>WK 43 (27')</v>
      </c>
      <c r="L77" s="61" t="str">
        <f>_xlfn.XLOOKUP(A77,Search!B:B,Search!C:C,"",0)</f>
        <v/>
      </c>
    </row>
    <row r="78" spans="1:12">
      <c r="A78" s="62">
        <v>49781</v>
      </c>
      <c r="B78" s="63" t="s">
        <v>5</v>
      </c>
      <c r="C78" s="64" t="s">
        <v>279</v>
      </c>
      <c r="D78" s="66" t="s">
        <v>202</v>
      </c>
      <c r="E78" s="65" t="s">
        <v>18</v>
      </c>
      <c r="F78" s="61" t="s">
        <v>245</v>
      </c>
      <c r="G78" s="61" t="s">
        <v>223</v>
      </c>
      <c r="H78" s="68"/>
      <c r="I78" s="69">
        <f>COUNTIFS('Defect List'!$C$2:$C$161,$C78,'Defect List'!$J$2:$J$161,"&lt;&gt;")/COUNTIF('Defect List'!$C$2:$C$161,$C78)</f>
        <v>0.35294117647058826</v>
      </c>
      <c r="J78" s="67"/>
      <c r="K78" s="61" t="str">
        <f t="shared" si="1"/>
        <v/>
      </c>
      <c r="L78" s="61" t="str">
        <f>_xlfn.XLOOKUP(A78,Search!B:B,Search!C:C,"",0)</f>
        <v/>
      </c>
    </row>
    <row r="79" spans="1:12">
      <c r="A79" s="62">
        <v>50028</v>
      </c>
      <c r="B79" s="63" t="s">
        <v>5</v>
      </c>
      <c r="C79" s="64" t="s">
        <v>290</v>
      </c>
      <c r="D79" s="66" t="s">
        <v>198</v>
      </c>
      <c r="E79" s="65" t="s">
        <v>18</v>
      </c>
      <c r="F79" s="61" t="s">
        <v>239</v>
      </c>
      <c r="G79" s="61" t="s">
        <v>224</v>
      </c>
      <c r="H79" s="68"/>
      <c r="I79" s="69">
        <f>COUNTIFS('Defect List'!$C$2:$C$161,$C79,'Defect List'!$J$2:$J$161,"&lt;&gt;")/COUNTIF('Defect List'!$C$2:$C$161,$C79)</f>
        <v>0</v>
      </c>
      <c r="J79" s="67"/>
      <c r="K79" s="61" t="str">
        <f t="shared" si="1"/>
        <v/>
      </c>
      <c r="L79" s="61" t="str">
        <f>_xlfn.XLOOKUP(A79,Search!B:B,Search!C:C,"",0)</f>
        <v/>
      </c>
    </row>
    <row r="80" spans="1:12">
      <c r="A80" s="62">
        <v>50771</v>
      </c>
      <c r="B80" s="63" t="s">
        <v>210</v>
      </c>
      <c r="C80" s="64" t="s">
        <v>291</v>
      </c>
      <c r="D80" s="66" t="s">
        <v>203</v>
      </c>
      <c r="E80" s="65" t="s">
        <v>19</v>
      </c>
      <c r="F80" s="61" t="s">
        <v>243</v>
      </c>
      <c r="G80" s="61" t="s">
        <v>223</v>
      </c>
      <c r="H80" s="68"/>
      <c r="I80" s="69">
        <f>COUNTIFS('Defect List'!$C$2:$C$161,$C80,'Defect List'!$J$2:$J$161,"&lt;&gt;")/COUNTIF('Defect List'!$C$2:$C$161,$C80)</f>
        <v>1</v>
      </c>
      <c r="J80" s="67">
        <v>46707</v>
      </c>
      <c r="K80" s="61" t="str">
        <f t="shared" si="1"/>
        <v>WK 45 (27')</v>
      </c>
      <c r="L80" s="61" t="str">
        <f>_xlfn.XLOOKUP(A80,Search!B:B,Search!C:C,"",0)</f>
        <v/>
      </c>
    </row>
    <row r="81" spans="1:12">
      <c r="A81" s="62">
        <v>53797</v>
      </c>
      <c r="B81" s="63" t="s">
        <v>5</v>
      </c>
      <c r="C81" s="64" t="s">
        <v>279</v>
      </c>
      <c r="D81" s="66" t="s">
        <v>198</v>
      </c>
      <c r="E81" s="65" t="s">
        <v>18</v>
      </c>
      <c r="F81" s="61" t="s">
        <v>245</v>
      </c>
      <c r="G81" s="61" t="s">
        <v>224</v>
      </c>
      <c r="H81" s="68"/>
      <c r="I81" s="69">
        <f>COUNTIFS('Defect List'!$C$2:$C$161,$C81,'Defect List'!$J$2:$J$161,"&lt;&gt;")/COUNTIF('Defect List'!$C$2:$C$161,$C81)</f>
        <v>0.35294117647058826</v>
      </c>
      <c r="J81" s="67"/>
      <c r="K81" s="61" t="str">
        <f t="shared" si="1"/>
        <v/>
      </c>
      <c r="L81" s="61" t="str">
        <f>_xlfn.XLOOKUP(A81,Search!B:B,Search!C:C,"",0)</f>
        <v/>
      </c>
    </row>
    <row r="82" spans="1:12">
      <c r="A82" s="62">
        <v>54486</v>
      </c>
      <c r="B82" s="63" t="s">
        <v>5</v>
      </c>
      <c r="C82" s="64" t="s">
        <v>279</v>
      </c>
      <c r="D82" s="66" t="s">
        <v>203</v>
      </c>
      <c r="E82" s="65" t="s">
        <v>18</v>
      </c>
      <c r="F82" s="61" t="s">
        <v>245</v>
      </c>
      <c r="G82" s="61" t="s">
        <v>223</v>
      </c>
      <c r="H82" s="68"/>
      <c r="I82" s="69">
        <f>COUNTIFS('Defect List'!$C$2:$C$161,$C82,'Defect List'!$J$2:$J$161,"&lt;&gt;")/COUNTIF('Defect List'!$C$2:$C$161,$C82)</f>
        <v>0.35294117647058826</v>
      </c>
      <c r="J82" s="67"/>
      <c r="K82" s="61" t="str">
        <f t="shared" si="1"/>
        <v/>
      </c>
      <c r="L82" s="61" t="str">
        <f>_xlfn.XLOOKUP(A82,Search!B:B,Search!C:C,"",0)</f>
        <v/>
      </c>
    </row>
    <row r="83" spans="1:12">
      <c r="A83" s="62">
        <v>55390</v>
      </c>
      <c r="B83" s="63" t="s">
        <v>210</v>
      </c>
      <c r="C83" s="64" t="s">
        <v>292</v>
      </c>
      <c r="D83" s="66" t="s">
        <v>200</v>
      </c>
      <c r="E83" s="65" t="s">
        <v>18</v>
      </c>
      <c r="F83" s="61" t="s">
        <v>243</v>
      </c>
      <c r="G83" s="61" t="s">
        <v>223</v>
      </c>
      <c r="H83" s="68"/>
      <c r="I83" s="69">
        <f>COUNTIFS('Defect List'!$C$2:$C$161,$C83,'Defect List'!$J$2:$J$161,"&lt;&gt;")/COUNTIF('Defect List'!$C$2:$C$161,$C83)</f>
        <v>0.33333333333333331</v>
      </c>
      <c r="J83" s="67">
        <v>46689</v>
      </c>
      <c r="K83" s="61" t="str">
        <f t="shared" si="1"/>
        <v>WK 43 (27')</v>
      </c>
      <c r="L83" s="61" t="str">
        <f>_xlfn.XLOOKUP(A83,Search!B:B,Search!C:C,"",0)</f>
        <v/>
      </c>
    </row>
    <row r="84" spans="1:12">
      <c r="A84" s="62">
        <v>55720</v>
      </c>
      <c r="B84" s="63" t="s">
        <v>5</v>
      </c>
      <c r="C84" s="64" t="s">
        <v>275</v>
      </c>
      <c r="D84" s="66" t="s">
        <v>199</v>
      </c>
      <c r="E84" s="65" t="s">
        <v>13</v>
      </c>
      <c r="F84" s="61" t="s">
        <v>249</v>
      </c>
      <c r="G84" s="61" t="s">
        <v>224</v>
      </c>
      <c r="H84" s="68"/>
      <c r="I84" s="69">
        <f>COUNTIFS('Defect List'!$C$2:$C$161,$C84,'Defect List'!$J$2:$J$161,"&lt;&gt;")/COUNTIF('Defect List'!$C$2:$C$161,$C84)</f>
        <v>0.3125</v>
      </c>
      <c r="J84" s="67"/>
      <c r="K84" s="61" t="str">
        <f t="shared" si="1"/>
        <v/>
      </c>
      <c r="L84" s="61" t="str">
        <f>_xlfn.XLOOKUP(A84,Search!B:B,Search!C:C,"",0)</f>
        <v/>
      </c>
    </row>
    <row r="85" spans="1:12">
      <c r="A85" s="62">
        <v>55924</v>
      </c>
      <c r="B85" s="63" t="s">
        <v>5</v>
      </c>
      <c r="C85" s="64" t="s">
        <v>287</v>
      </c>
      <c r="D85" s="66" t="s">
        <v>198</v>
      </c>
      <c r="E85" s="65" t="s">
        <v>18</v>
      </c>
      <c r="F85" s="61" t="s">
        <v>239</v>
      </c>
      <c r="G85" s="61" t="s">
        <v>224</v>
      </c>
      <c r="H85" s="68"/>
      <c r="I85" s="69">
        <f>COUNTIFS('Defect List'!$C$2:$C$161,$C85,'Defect List'!$J$2:$J$161,"&lt;&gt;")/COUNTIF('Defect List'!$C$2:$C$161,$C85)</f>
        <v>0.3</v>
      </c>
      <c r="J85" s="67"/>
      <c r="K85" s="61" t="str">
        <f t="shared" si="1"/>
        <v/>
      </c>
      <c r="L85" s="61" t="str">
        <f>_xlfn.XLOOKUP(A85,Search!B:B,Search!C:C,"",0)</f>
        <v/>
      </c>
    </row>
    <row r="86" spans="1:12">
      <c r="A86" s="62">
        <v>59321</v>
      </c>
      <c r="B86" s="63" t="s">
        <v>210</v>
      </c>
      <c r="C86" s="64" t="s">
        <v>293</v>
      </c>
      <c r="D86" s="66" t="s">
        <v>188</v>
      </c>
      <c r="E86" s="65" t="s">
        <v>19</v>
      </c>
      <c r="F86" s="61" t="s">
        <v>270</v>
      </c>
      <c r="G86" s="61" t="s">
        <v>224</v>
      </c>
      <c r="H86" s="68"/>
      <c r="I86" s="69">
        <f>COUNTIFS('Defect List'!$C$2:$C$161,$C86,'Defect List'!$J$2:$J$161,"&lt;&gt;")/COUNTIF('Defect List'!$C$2:$C$161,$C86)</f>
        <v>1</v>
      </c>
      <c r="J86" s="67">
        <v>46689</v>
      </c>
      <c r="K86" s="61" t="str">
        <f t="shared" si="1"/>
        <v>WK 43 (27')</v>
      </c>
      <c r="L86" s="61" t="str">
        <f>_xlfn.XLOOKUP(A86,Search!B:B,Search!C:C,"",0)</f>
        <v/>
      </c>
    </row>
    <row r="87" spans="1:12">
      <c r="A87" s="62">
        <v>59334</v>
      </c>
      <c r="B87" s="63" t="s">
        <v>210</v>
      </c>
      <c r="C87" s="64" t="s">
        <v>294</v>
      </c>
      <c r="D87" s="66" t="s">
        <v>188</v>
      </c>
      <c r="E87" s="65" t="s">
        <v>19</v>
      </c>
      <c r="F87" s="61" t="s">
        <v>270</v>
      </c>
      <c r="G87" s="61" t="s">
        <v>224</v>
      </c>
      <c r="H87" s="68"/>
      <c r="I87" s="69">
        <f>COUNTIFS('Defect List'!$C$2:$C$161,$C87,'Defect List'!$J$2:$J$161,"&lt;&gt;")/COUNTIF('Defect List'!$C$2:$C$161,$C87)</f>
        <v>1</v>
      </c>
      <c r="J87" s="67">
        <v>46704</v>
      </c>
      <c r="K87" s="61" t="str">
        <f t="shared" si="1"/>
        <v>WK 45 (27')</v>
      </c>
      <c r="L87" s="61" t="str">
        <f>_xlfn.XLOOKUP(A87,Search!B:B,Search!C:C,"",0)</f>
        <v/>
      </c>
    </row>
    <row r="88" spans="1:12">
      <c r="A88" s="62">
        <v>59463</v>
      </c>
      <c r="B88" s="63" t="s">
        <v>210</v>
      </c>
      <c r="C88" s="64" t="s">
        <v>295</v>
      </c>
      <c r="D88" s="66" t="s">
        <v>203</v>
      </c>
      <c r="E88" s="65" t="s">
        <v>19</v>
      </c>
      <c r="F88" s="61" t="s">
        <v>243</v>
      </c>
      <c r="G88" s="61" t="s">
        <v>223</v>
      </c>
      <c r="H88" s="68"/>
      <c r="I88" s="69">
        <f>COUNTIFS('Defect List'!$C$2:$C$161,$C88,'Defect List'!$J$2:$J$161,"&lt;&gt;")/COUNTIF('Defect List'!$C$2:$C$161,$C88)</f>
        <v>1</v>
      </c>
      <c r="J88" s="67">
        <v>46680</v>
      </c>
      <c r="K88" s="61" t="str">
        <f t="shared" si="1"/>
        <v>WK 41 (27')</v>
      </c>
      <c r="L88" s="61" t="str">
        <f>_xlfn.XLOOKUP(A88,Search!B:B,Search!C:C,"",0)</f>
        <v/>
      </c>
    </row>
    <row r="89" spans="1:12">
      <c r="A89" s="62">
        <v>59464</v>
      </c>
      <c r="B89" s="63" t="s">
        <v>210</v>
      </c>
      <c r="C89" s="64" t="s">
        <v>296</v>
      </c>
      <c r="D89" s="66" t="s">
        <v>190</v>
      </c>
      <c r="E89" s="65" t="s">
        <v>19</v>
      </c>
      <c r="F89" s="61" t="s">
        <v>241</v>
      </c>
      <c r="G89" s="61" t="s">
        <v>224</v>
      </c>
      <c r="H89" s="68"/>
      <c r="I89" s="69">
        <f>COUNTIFS('Defect List'!$C$2:$C$161,$C89,'Defect List'!$J$2:$J$161,"&lt;&gt;")/COUNTIF('Defect List'!$C$2:$C$161,$C89)</f>
        <v>1</v>
      </c>
      <c r="J89" s="67">
        <v>46703</v>
      </c>
      <c r="K89" s="61" t="str">
        <f t="shared" si="1"/>
        <v>WK 45 (27')</v>
      </c>
      <c r="L89" s="61" t="str">
        <f>_xlfn.XLOOKUP(A89,Search!B:B,Search!C:C,"",0)</f>
        <v/>
      </c>
    </row>
    <row r="90" spans="1:12">
      <c r="A90" s="62">
        <v>59507</v>
      </c>
      <c r="B90" s="63" t="s">
        <v>210</v>
      </c>
      <c r="C90" s="64" t="s">
        <v>297</v>
      </c>
      <c r="D90" s="66" t="s">
        <v>201</v>
      </c>
      <c r="E90" s="65" t="s">
        <v>19</v>
      </c>
      <c r="F90" s="61" t="s">
        <v>249</v>
      </c>
      <c r="G90" s="61" t="s">
        <v>223</v>
      </c>
      <c r="H90" s="68"/>
      <c r="I90" s="69">
        <f>COUNTIFS('Defect List'!$C$2:$C$161,$C90,'Defect List'!$J$2:$J$161,"&lt;&gt;")/COUNTIF('Defect List'!$C$2:$C$161,$C90)</f>
        <v>1</v>
      </c>
      <c r="J90" s="67">
        <v>46716</v>
      </c>
      <c r="K90" s="61" t="str">
        <f t="shared" si="1"/>
        <v>WK 47 (27')</v>
      </c>
      <c r="L90" s="61" t="str">
        <f>_xlfn.XLOOKUP(A90,Search!B:B,Search!C:C,"",0)</f>
        <v/>
      </c>
    </row>
    <row r="91" spans="1:12">
      <c r="A91" s="62">
        <v>59854</v>
      </c>
      <c r="B91" s="63" t="s">
        <v>5</v>
      </c>
      <c r="C91" s="64" t="s">
        <v>276</v>
      </c>
      <c r="D91" s="66" t="s">
        <v>199</v>
      </c>
      <c r="E91" s="65" t="s">
        <v>13</v>
      </c>
      <c r="F91" s="61" t="s">
        <v>249</v>
      </c>
      <c r="G91" s="61" t="s">
        <v>224</v>
      </c>
      <c r="H91" s="68"/>
      <c r="I91" s="69">
        <f>COUNTIFS('Defect List'!$C$2:$C$161,$C91,'Defect List'!$J$2:$J$161,"&lt;&gt;")/COUNTIF('Defect List'!$C$2:$C$161,$C91)</f>
        <v>0.27272727272727271</v>
      </c>
      <c r="J91" s="67"/>
      <c r="K91" s="61" t="str">
        <f t="shared" si="1"/>
        <v/>
      </c>
      <c r="L91" s="61" t="str">
        <f>_xlfn.XLOOKUP(A91,Search!B:B,Search!C:C,"",0)</f>
        <v/>
      </c>
    </row>
    <row r="92" spans="1:12">
      <c r="A92" s="62">
        <v>59897</v>
      </c>
      <c r="B92" s="63" t="s">
        <v>5</v>
      </c>
      <c r="C92" s="64" t="s">
        <v>277</v>
      </c>
      <c r="D92" s="66" t="s">
        <v>199</v>
      </c>
      <c r="E92" s="65" t="s">
        <v>13</v>
      </c>
      <c r="F92" s="61" t="s">
        <v>249</v>
      </c>
      <c r="G92" s="61" t="s">
        <v>224</v>
      </c>
      <c r="H92" s="68"/>
      <c r="I92" s="69">
        <f>COUNTIFS('Defect List'!$C$2:$C$161,$C92,'Defect List'!$J$2:$J$161,"&lt;&gt;")/COUNTIF('Defect List'!$C$2:$C$161,$C92)</f>
        <v>0.22222222222222221</v>
      </c>
      <c r="J92" s="67"/>
      <c r="K92" s="61" t="str">
        <f t="shared" si="1"/>
        <v/>
      </c>
      <c r="L92" s="61" t="str">
        <f>_xlfn.XLOOKUP(A92,Search!B:B,Search!C:C,"",0)</f>
        <v/>
      </c>
    </row>
    <row r="93" spans="1:12">
      <c r="A93" s="62">
        <v>60269</v>
      </c>
      <c r="B93" s="63" t="s">
        <v>5</v>
      </c>
      <c r="C93" s="64" t="s">
        <v>276</v>
      </c>
      <c r="D93" s="66" t="s">
        <v>197</v>
      </c>
      <c r="E93" s="65" t="s">
        <v>13</v>
      </c>
      <c r="F93" s="61" t="s">
        <v>249</v>
      </c>
      <c r="G93" s="61" t="s">
        <v>224</v>
      </c>
      <c r="H93" s="68"/>
      <c r="I93" s="69">
        <f>COUNTIFS('Defect List'!$C$2:$C$161,$C93,'Defect List'!$J$2:$J$161,"&lt;&gt;")/COUNTIF('Defect List'!$C$2:$C$161,$C93)</f>
        <v>0.27272727272727271</v>
      </c>
      <c r="J93" s="67"/>
      <c r="K93" s="61" t="str">
        <f t="shared" si="1"/>
        <v/>
      </c>
      <c r="L93" s="61" t="str">
        <f>_xlfn.XLOOKUP(A93,Search!B:B,Search!C:C,"",0)</f>
        <v/>
      </c>
    </row>
    <row r="94" spans="1:12">
      <c r="A94" s="62">
        <v>60270</v>
      </c>
      <c r="B94" s="63" t="s">
        <v>5</v>
      </c>
      <c r="C94" s="64" t="s">
        <v>277</v>
      </c>
      <c r="D94" s="66" t="s">
        <v>197</v>
      </c>
      <c r="E94" s="65" t="s">
        <v>13</v>
      </c>
      <c r="F94" s="61" t="s">
        <v>249</v>
      </c>
      <c r="G94" s="61" t="s">
        <v>224</v>
      </c>
      <c r="H94" s="68"/>
      <c r="I94" s="69">
        <f>COUNTIFS('Defect List'!$C$2:$C$161,$C94,'Defect List'!$J$2:$J$161,"&lt;&gt;")/COUNTIF('Defect List'!$C$2:$C$161,$C94)</f>
        <v>0.22222222222222221</v>
      </c>
      <c r="J94" s="67"/>
      <c r="K94" s="61" t="str">
        <f t="shared" si="1"/>
        <v/>
      </c>
      <c r="L94" s="61" t="str">
        <f>_xlfn.XLOOKUP(A94,Search!B:B,Search!C:C,"",0)</f>
        <v/>
      </c>
    </row>
    <row r="95" spans="1:12">
      <c r="A95" s="62">
        <v>60271</v>
      </c>
      <c r="B95" s="63" t="s">
        <v>5</v>
      </c>
      <c r="C95" s="64" t="s">
        <v>274</v>
      </c>
      <c r="D95" s="66" t="s">
        <v>197</v>
      </c>
      <c r="E95" s="65" t="s">
        <v>13</v>
      </c>
      <c r="F95" s="61" t="s">
        <v>243</v>
      </c>
      <c r="G95" s="61" t="s">
        <v>224</v>
      </c>
      <c r="H95" s="68"/>
      <c r="I95" s="69">
        <f>COUNTIFS('Defect List'!$C$2:$C$161,$C95,'Defect List'!$J$2:$J$161,"&lt;&gt;")/COUNTIF('Defect List'!$C$2:$C$161,$C95)</f>
        <v>0.4</v>
      </c>
      <c r="J95" s="67"/>
      <c r="K95" s="61" t="str">
        <f t="shared" si="1"/>
        <v/>
      </c>
      <c r="L95" s="61" t="str">
        <f>_xlfn.XLOOKUP(A95,Search!B:B,Search!C:C,"",0)</f>
        <v/>
      </c>
    </row>
    <row r="96" spans="1:12">
      <c r="A96" s="62">
        <v>60272</v>
      </c>
      <c r="B96" s="63" t="s">
        <v>5</v>
      </c>
      <c r="C96" s="64" t="s">
        <v>278</v>
      </c>
      <c r="D96" s="66" t="s">
        <v>197</v>
      </c>
      <c r="E96" s="65" t="s">
        <v>13</v>
      </c>
      <c r="F96" s="61" t="s">
        <v>255</v>
      </c>
      <c r="G96" s="61" t="s">
        <v>224</v>
      </c>
      <c r="H96" s="68"/>
      <c r="I96" s="69">
        <f>COUNTIFS('Defect List'!$C$2:$C$161,$C96,'Defect List'!$J$2:$J$161,"&lt;&gt;")/COUNTIF('Defect List'!$C$2:$C$161,$C96)</f>
        <v>0.33333333333333331</v>
      </c>
      <c r="J96" s="67"/>
      <c r="K96" s="61" t="str">
        <f t="shared" si="1"/>
        <v/>
      </c>
      <c r="L96" s="61" t="str">
        <f>_xlfn.XLOOKUP(A96,Search!B:B,Search!C:C,"",0)</f>
        <v/>
      </c>
    </row>
    <row r="97" spans="1:12">
      <c r="A97" s="62">
        <v>60827</v>
      </c>
      <c r="B97" s="63" t="s">
        <v>210</v>
      </c>
      <c r="C97" s="64" t="s">
        <v>297</v>
      </c>
      <c r="D97" s="66" t="s">
        <v>188</v>
      </c>
      <c r="E97" s="65" t="s">
        <v>19</v>
      </c>
      <c r="F97" s="61" t="s">
        <v>249</v>
      </c>
      <c r="G97" s="61" t="s">
        <v>224</v>
      </c>
      <c r="H97" s="68"/>
      <c r="I97" s="69">
        <f>COUNTIFS('Defect List'!$C$2:$C$161,$C97,'Defect List'!$J$2:$J$161,"&lt;&gt;")/COUNTIF('Defect List'!$C$2:$C$161,$C97)</f>
        <v>1</v>
      </c>
      <c r="J97" s="67">
        <v>46687</v>
      </c>
      <c r="K97" s="61" t="str">
        <f t="shared" si="1"/>
        <v>WK 42 (27')</v>
      </c>
      <c r="L97" s="61" t="str">
        <f>_xlfn.XLOOKUP(A97,Search!B:B,Search!C:C,"",0)</f>
        <v/>
      </c>
    </row>
    <row r="98" spans="1:12">
      <c r="A98" s="62">
        <v>61132</v>
      </c>
      <c r="B98" s="63" t="s">
        <v>210</v>
      </c>
      <c r="C98" s="64" t="s">
        <v>298</v>
      </c>
      <c r="D98" s="66" t="s">
        <v>201</v>
      </c>
      <c r="E98" s="65" t="s">
        <v>19</v>
      </c>
      <c r="F98" s="61" t="s">
        <v>270</v>
      </c>
      <c r="G98" s="61" t="s">
        <v>223</v>
      </c>
      <c r="H98" s="68"/>
      <c r="I98" s="69">
        <f>COUNTIFS('Defect List'!$C$2:$C$161,$C98,'Defect List'!$J$2:$J$161,"&lt;&gt;")/COUNTIF('Defect List'!$C$2:$C$161,$C98)</f>
        <v>1</v>
      </c>
      <c r="J98" s="67">
        <v>46698</v>
      </c>
      <c r="K98" s="61" t="str">
        <f t="shared" si="1"/>
        <v>WK 44 (27')</v>
      </c>
      <c r="L98" s="61" t="str">
        <f>_xlfn.XLOOKUP(A98,Search!B:B,Search!C:C,"",0)</f>
        <v/>
      </c>
    </row>
    <row r="99" spans="1:12">
      <c r="A99" s="62">
        <v>61141</v>
      </c>
      <c r="B99" s="63" t="s">
        <v>210</v>
      </c>
      <c r="C99" s="64" t="s">
        <v>299</v>
      </c>
      <c r="D99" s="66" t="s">
        <v>188</v>
      </c>
      <c r="E99" s="65" t="s">
        <v>19</v>
      </c>
      <c r="F99" s="61" t="s">
        <v>270</v>
      </c>
      <c r="G99" s="61" t="s">
        <v>224</v>
      </c>
      <c r="H99" s="68"/>
      <c r="I99" s="69">
        <f>COUNTIFS('Defect List'!$C$2:$C$161,$C99,'Defect List'!$J$2:$J$161,"&lt;&gt;")/COUNTIF('Defect List'!$C$2:$C$161,$C99)</f>
        <v>1</v>
      </c>
      <c r="J99" s="67">
        <v>46686</v>
      </c>
      <c r="K99" s="61" t="str">
        <f t="shared" si="1"/>
        <v>WK 42 (27')</v>
      </c>
      <c r="L99" s="61" t="str">
        <f>_xlfn.XLOOKUP(A99,Search!B:B,Search!C:C,"",0)</f>
        <v/>
      </c>
    </row>
    <row r="100" spans="1:12">
      <c r="A100" s="62">
        <v>61320</v>
      </c>
      <c r="B100" s="63" t="s">
        <v>5</v>
      </c>
      <c r="C100" s="64" t="s">
        <v>275</v>
      </c>
      <c r="D100" s="66" t="s">
        <v>202</v>
      </c>
      <c r="E100" s="65" t="s">
        <v>13</v>
      </c>
      <c r="F100" s="61" t="s">
        <v>249</v>
      </c>
      <c r="G100" s="61" t="s">
        <v>223</v>
      </c>
      <c r="H100" s="68"/>
      <c r="I100" s="69">
        <f>COUNTIFS('Defect List'!$C$2:$C$161,$C100,'Defect List'!$J$2:$J$161,"&lt;&gt;")/COUNTIF('Defect List'!$C$2:$C$161,$C100)</f>
        <v>0.3125</v>
      </c>
      <c r="J100" s="67"/>
      <c r="K100" s="61" t="str">
        <f t="shared" si="1"/>
        <v/>
      </c>
      <c r="L100" s="61" t="str">
        <f>_xlfn.XLOOKUP(A100,Search!B:B,Search!C:C,"",0)</f>
        <v/>
      </c>
    </row>
    <row r="101" spans="1:12">
      <c r="A101" s="62">
        <v>61383</v>
      </c>
      <c r="B101" s="63" t="s">
        <v>5</v>
      </c>
      <c r="C101" s="64" t="s">
        <v>279</v>
      </c>
      <c r="D101" s="66" t="s">
        <v>192</v>
      </c>
      <c r="E101" s="65" t="s">
        <v>18</v>
      </c>
      <c r="F101" s="61" t="s">
        <v>245</v>
      </c>
      <c r="G101" s="61" t="s">
        <v>224</v>
      </c>
      <c r="H101" s="68"/>
      <c r="I101" s="69">
        <f>COUNTIFS('Defect List'!$C$2:$C$161,$C101,'Defect List'!$J$2:$J$161,"&lt;&gt;")/COUNTIF('Defect List'!$C$2:$C$161,$C101)</f>
        <v>0.35294117647058826</v>
      </c>
      <c r="J101" s="67"/>
      <c r="K101" s="61" t="str">
        <f t="shared" si="1"/>
        <v/>
      </c>
      <c r="L101" s="61" t="str">
        <f>_xlfn.XLOOKUP(A101,Search!B:B,Search!C:C,"",0)</f>
        <v/>
      </c>
    </row>
    <row r="102" spans="1:12">
      <c r="A102" s="62">
        <v>61758</v>
      </c>
      <c r="B102" s="63" t="s">
        <v>5</v>
      </c>
      <c r="C102" s="64" t="s">
        <v>300</v>
      </c>
      <c r="D102" s="66" t="s">
        <v>198</v>
      </c>
      <c r="E102" s="65" t="s">
        <v>18</v>
      </c>
      <c r="F102" s="61" t="s">
        <v>245</v>
      </c>
      <c r="G102" s="61" t="s">
        <v>224</v>
      </c>
      <c r="H102" s="68"/>
      <c r="I102" s="69">
        <f>COUNTIFS('Defect List'!$C$2:$C$161,$C102,'Defect List'!$J$2:$J$161,"&lt;&gt;")/COUNTIF('Defect List'!$C$2:$C$161,$C102)</f>
        <v>0</v>
      </c>
      <c r="J102" s="67"/>
      <c r="K102" s="61" t="str">
        <f t="shared" si="1"/>
        <v/>
      </c>
      <c r="L102" s="61" t="str">
        <f>_xlfn.XLOOKUP(A102,Search!B:B,Search!C:C,"",0)</f>
        <v/>
      </c>
    </row>
    <row r="103" spans="1:12">
      <c r="A103" s="62">
        <v>62049</v>
      </c>
      <c r="B103" s="63" t="s">
        <v>210</v>
      </c>
      <c r="C103" s="64" t="s">
        <v>282</v>
      </c>
      <c r="D103" s="66" t="s">
        <v>189</v>
      </c>
      <c r="E103" s="65" t="s">
        <v>13</v>
      </c>
      <c r="F103" s="61" t="s">
        <v>250</v>
      </c>
      <c r="G103" s="61" t="s">
        <v>224</v>
      </c>
      <c r="H103" s="68"/>
      <c r="I103" s="69">
        <f>COUNTIFS('Defect List'!$C$2:$C$161,$C103,'Defect List'!$J$2:$J$161,"&lt;&gt;")/COUNTIF('Defect List'!$C$2:$C$161,$C103)</f>
        <v>0.3</v>
      </c>
      <c r="J103" s="67">
        <v>46702</v>
      </c>
      <c r="K103" s="61" t="str">
        <f t="shared" si="1"/>
        <v>WK 45 (27')</v>
      </c>
      <c r="L103" s="61" t="str">
        <f>_xlfn.XLOOKUP(A103,Search!B:B,Search!C:C,"",0)</f>
        <v/>
      </c>
    </row>
    <row r="104" spans="1:12">
      <c r="A104" s="62">
        <v>62051</v>
      </c>
      <c r="B104" s="63" t="s">
        <v>210</v>
      </c>
      <c r="C104" s="64" t="s">
        <v>274</v>
      </c>
      <c r="D104" s="66" t="s">
        <v>190</v>
      </c>
      <c r="E104" s="65" t="s">
        <v>13</v>
      </c>
      <c r="F104" s="61" t="s">
        <v>243</v>
      </c>
      <c r="G104" s="61" t="s">
        <v>224</v>
      </c>
      <c r="H104" s="68"/>
      <c r="I104" s="69">
        <f>COUNTIFS('Defect List'!$C$2:$C$161,$C104,'Defect List'!$J$2:$J$161,"&lt;&gt;")/COUNTIF('Defect List'!$C$2:$C$161,$C104)</f>
        <v>0.4</v>
      </c>
      <c r="J104" s="67">
        <v>46708</v>
      </c>
      <c r="K104" s="61" t="str">
        <f t="shared" si="1"/>
        <v>WK 45 (27')</v>
      </c>
      <c r="L104" s="61" t="str">
        <f>_xlfn.XLOOKUP(A104,Search!B:B,Search!C:C,"",0)</f>
        <v/>
      </c>
    </row>
    <row r="105" spans="1:12">
      <c r="A105" s="62">
        <v>62774</v>
      </c>
      <c r="B105" s="63" t="s">
        <v>5</v>
      </c>
      <c r="C105" s="64" t="s">
        <v>292</v>
      </c>
      <c r="D105" s="66" t="s">
        <v>192</v>
      </c>
      <c r="E105" s="65" t="s">
        <v>18</v>
      </c>
      <c r="F105" s="61" t="s">
        <v>243</v>
      </c>
      <c r="G105" s="61" t="s">
        <v>224</v>
      </c>
      <c r="H105" s="68"/>
      <c r="I105" s="69">
        <f>COUNTIFS('Defect List'!$C$2:$C$161,$C105,'Defect List'!$J$2:$J$161,"&lt;&gt;")/COUNTIF('Defect List'!$C$2:$C$161,$C105)</f>
        <v>0.33333333333333331</v>
      </c>
      <c r="J105" s="67"/>
      <c r="K105" s="61" t="str">
        <f t="shared" si="1"/>
        <v/>
      </c>
      <c r="L105" s="61" t="str">
        <f>_xlfn.XLOOKUP(A105,Search!B:B,Search!C:C,"",0)</f>
        <v/>
      </c>
    </row>
    <row r="106" spans="1:12">
      <c r="A106" s="62">
        <v>62879</v>
      </c>
      <c r="B106" s="63" t="s">
        <v>210</v>
      </c>
      <c r="C106" s="64" t="s">
        <v>301</v>
      </c>
      <c r="D106" s="66" t="s">
        <v>190</v>
      </c>
      <c r="E106" s="65" t="s">
        <v>19</v>
      </c>
      <c r="F106" s="61" t="s">
        <v>268</v>
      </c>
      <c r="G106" s="61" t="s">
        <v>224</v>
      </c>
      <c r="H106" s="68"/>
      <c r="I106" s="69">
        <f>COUNTIFS('Defect List'!$C$2:$C$161,$C106,'Defect List'!$J$2:$J$161,"&lt;&gt;")/COUNTIF('Defect List'!$C$2:$C$161,$C106)</f>
        <v>1</v>
      </c>
      <c r="J106" s="67">
        <v>46718</v>
      </c>
      <c r="K106" s="61" t="str">
        <f t="shared" si="1"/>
        <v>WK 47 (27')</v>
      </c>
      <c r="L106" s="61" t="str">
        <f>_xlfn.XLOOKUP(A106,Search!B:B,Search!C:C,"",0)</f>
        <v/>
      </c>
    </row>
    <row r="107" spans="1:12">
      <c r="A107" s="62">
        <v>64130</v>
      </c>
      <c r="B107" s="63" t="s">
        <v>210</v>
      </c>
      <c r="C107" s="64" t="s">
        <v>274</v>
      </c>
      <c r="D107" s="66" t="s">
        <v>188</v>
      </c>
      <c r="E107" s="65" t="s">
        <v>13</v>
      </c>
      <c r="F107" s="61" t="s">
        <v>243</v>
      </c>
      <c r="G107" s="61" t="s">
        <v>224</v>
      </c>
      <c r="H107" s="68"/>
      <c r="I107" s="69">
        <f>COUNTIFS('Defect List'!$C$2:$C$161,$C107,'Defect List'!$J$2:$J$161,"&lt;&gt;")/COUNTIF('Defect List'!$C$2:$C$161,$C107)</f>
        <v>0.4</v>
      </c>
      <c r="J107" s="67">
        <v>46700</v>
      </c>
      <c r="K107" s="61" t="str">
        <f t="shared" si="1"/>
        <v>WK 44 (27')</v>
      </c>
      <c r="L107" s="61" t="str">
        <f>_xlfn.XLOOKUP(A107,Search!B:B,Search!C:C,"",0)</f>
        <v/>
      </c>
    </row>
    <row r="108" spans="1:12">
      <c r="A108" s="62">
        <v>64144</v>
      </c>
      <c r="B108" s="63" t="s">
        <v>210</v>
      </c>
      <c r="C108" s="64" t="s">
        <v>278</v>
      </c>
      <c r="D108" s="66" t="s">
        <v>190</v>
      </c>
      <c r="E108" s="65" t="s">
        <v>13</v>
      </c>
      <c r="F108" s="61" t="s">
        <v>255</v>
      </c>
      <c r="G108" s="61" t="s">
        <v>224</v>
      </c>
      <c r="H108" s="68"/>
      <c r="I108" s="69">
        <f>COUNTIFS('Defect List'!$C$2:$C$161,$C108,'Defect List'!$J$2:$J$161,"&lt;&gt;")/COUNTIF('Defect List'!$C$2:$C$161,$C108)</f>
        <v>0.33333333333333331</v>
      </c>
      <c r="J108" s="67">
        <v>46714</v>
      </c>
      <c r="K108" s="61" t="str">
        <f t="shared" si="1"/>
        <v>WK 46 (27')</v>
      </c>
      <c r="L108" s="61" t="str">
        <f>_xlfn.XLOOKUP(A108,Search!B:B,Search!C:C,"",0)</f>
        <v/>
      </c>
    </row>
    <row r="109" spans="1:12">
      <c r="A109" s="62">
        <v>64328</v>
      </c>
      <c r="B109" s="63" t="s">
        <v>210</v>
      </c>
      <c r="C109" s="64" t="s">
        <v>280</v>
      </c>
      <c r="D109" s="66" t="s">
        <v>190</v>
      </c>
      <c r="E109" s="65" t="s">
        <v>13</v>
      </c>
      <c r="F109" s="61" t="s">
        <v>255</v>
      </c>
      <c r="G109" s="61" t="s">
        <v>224</v>
      </c>
      <c r="H109" s="68"/>
      <c r="I109" s="69">
        <f>COUNTIFS('Defect List'!$C$2:$C$161,$C109,'Defect List'!$J$2:$J$161,"&lt;&gt;")/COUNTIF('Defect List'!$C$2:$C$161,$C109)</f>
        <v>0.2857142857142857</v>
      </c>
      <c r="J109" s="67">
        <v>46691</v>
      </c>
      <c r="K109" s="61" t="str">
        <f t="shared" si="1"/>
        <v>WK 43 (27')</v>
      </c>
      <c r="L109" s="61" t="str">
        <f>_xlfn.XLOOKUP(A109,Search!B:B,Search!C:C,"",0)</f>
        <v/>
      </c>
    </row>
    <row r="110" spans="1:12">
      <c r="A110" s="62">
        <v>65011</v>
      </c>
      <c r="B110" s="63" t="s">
        <v>210</v>
      </c>
      <c r="C110" s="64" t="s">
        <v>302</v>
      </c>
      <c r="D110" s="66" t="s">
        <v>200</v>
      </c>
      <c r="E110" s="65" t="s">
        <v>19</v>
      </c>
      <c r="F110" s="61" t="s">
        <v>245</v>
      </c>
      <c r="G110" s="61" t="s">
        <v>223</v>
      </c>
      <c r="H110" s="68"/>
      <c r="I110" s="69">
        <f>COUNTIFS('Defect List'!$C$2:$C$161,$C110,'Defect List'!$J$2:$J$161,"&lt;&gt;")/COUNTIF('Defect List'!$C$2:$C$161,$C110)</f>
        <v>1</v>
      </c>
      <c r="J110" s="67">
        <v>46681</v>
      </c>
      <c r="K110" s="61" t="str">
        <f t="shared" si="1"/>
        <v>WK 42 (27')</v>
      </c>
      <c r="L110" s="61" t="str">
        <f>_xlfn.XLOOKUP(A110,Search!B:B,Search!C:C,"",0)</f>
        <v/>
      </c>
    </row>
    <row r="111" spans="1:12">
      <c r="A111" s="62">
        <v>65667</v>
      </c>
      <c r="B111" s="63" t="s">
        <v>5</v>
      </c>
      <c r="C111" s="64" t="s">
        <v>289</v>
      </c>
      <c r="D111" s="66" t="s">
        <v>200</v>
      </c>
      <c r="E111" s="65" t="s">
        <v>18</v>
      </c>
      <c r="F111" s="61" t="s">
        <v>239</v>
      </c>
      <c r="G111" s="61" t="s">
        <v>223</v>
      </c>
      <c r="H111" s="68"/>
      <c r="I111" s="69">
        <f>COUNTIFS('Defect List'!$C$2:$C$161,$C111,'Defect List'!$J$2:$J$161,"&lt;&gt;")/COUNTIF('Defect List'!$C$2:$C$161,$C111)</f>
        <v>0.4</v>
      </c>
      <c r="J111" s="67"/>
      <c r="K111" s="61" t="str">
        <f t="shared" si="1"/>
        <v/>
      </c>
      <c r="L111" s="61" t="str">
        <f>_xlfn.XLOOKUP(A111,Search!B:B,Search!C:C,"",0)</f>
        <v/>
      </c>
    </row>
    <row r="112" spans="1:12">
      <c r="A112" s="62">
        <v>65849</v>
      </c>
      <c r="B112" s="63" t="s">
        <v>210</v>
      </c>
      <c r="C112" s="64" t="s">
        <v>303</v>
      </c>
      <c r="D112" s="66" t="s">
        <v>190</v>
      </c>
      <c r="E112" s="65" t="s">
        <v>19</v>
      </c>
      <c r="F112" s="61" t="s">
        <v>243</v>
      </c>
      <c r="G112" s="61" t="s">
        <v>224</v>
      </c>
      <c r="H112" s="68"/>
      <c r="I112" s="69">
        <f>COUNTIFS('Defect List'!$C$2:$C$161,$C112,'Defect List'!$J$2:$J$161,"&lt;&gt;")/COUNTIF('Defect List'!$C$2:$C$161,$C112)</f>
        <v>1</v>
      </c>
      <c r="J112" s="67">
        <v>46687</v>
      </c>
      <c r="K112" s="61" t="str">
        <f t="shared" si="1"/>
        <v>WK 42 (27')</v>
      </c>
      <c r="L112" s="61" t="str">
        <f>_xlfn.XLOOKUP(A112,Search!B:B,Search!C:C,"",0)</f>
        <v/>
      </c>
    </row>
    <row r="113" spans="1:12">
      <c r="A113" s="62">
        <v>65914</v>
      </c>
      <c r="B113" s="63" t="s">
        <v>5</v>
      </c>
      <c r="C113" s="64" t="s">
        <v>288</v>
      </c>
      <c r="D113" s="66" t="s">
        <v>195</v>
      </c>
      <c r="E113" s="65" t="s">
        <v>18</v>
      </c>
      <c r="F113" s="61" t="s">
        <v>247</v>
      </c>
      <c r="G113" s="61" t="s">
        <v>224</v>
      </c>
      <c r="H113" s="68"/>
      <c r="I113" s="69">
        <f>COUNTIFS('Defect List'!$C$2:$C$161,$C113,'Defect List'!$J$2:$J$161,"&lt;&gt;")/COUNTIF('Defect List'!$C$2:$C$161,$C113)</f>
        <v>0.5</v>
      </c>
      <c r="J113" s="67"/>
      <c r="K113" s="61" t="str">
        <f t="shared" si="1"/>
        <v/>
      </c>
      <c r="L113" s="61" t="str">
        <f>_xlfn.XLOOKUP(A113,Search!B:B,Search!C:C,"",0)</f>
        <v/>
      </c>
    </row>
    <row r="114" spans="1:12">
      <c r="A114" s="62">
        <v>65916</v>
      </c>
      <c r="B114" s="63" t="s">
        <v>210</v>
      </c>
      <c r="C114" s="64" t="s">
        <v>288</v>
      </c>
      <c r="D114" s="66" t="s">
        <v>190</v>
      </c>
      <c r="E114" s="65" t="s">
        <v>18</v>
      </c>
      <c r="F114" s="61" t="s">
        <v>247</v>
      </c>
      <c r="G114" s="61" t="s">
        <v>224</v>
      </c>
      <c r="H114" s="68"/>
      <c r="I114" s="69">
        <f>COUNTIFS('Defect List'!$C$2:$C$161,$C114,'Defect List'!$J$2:$J$161,"&lt;&gt;")/COUNTIF('Defect List'!$C$2:$C$161,$C114)</f>
        <v>0.5</v>
      </c>
      <c r="J114" s="67">
        <v>46684</v>
      </c>
      <c r="K114" s="61" t="str">
        <f t="shared" si="1"/>
        <v>WK 42 (27')</v>
      </c>
      <c r="L114" s="61" t="str">
        <f>_xlfn.XLOOKUP(A114,Search!B:B,Search!C:C,"",0)</f>
        <v/>
      </c>
    </row>
    <row r="115" spans="1:12">
      <c r="A115" s="62">
        <v>65917</v>
      </c>
      <c r="B115" s="63" t="s">
        <v>210</v>
      </c>
      <c r="C115" s="64" t="s">
        <v>279</v>
      </c>
      <c r="D115" s="66" t="s">
        <v>190</v>
      </c>
      <c r="E115" s="65" t="s">
        <v>18</v>
      </c>
      <c r="F115" s="61" t="s">
        <v>245</v>
      </c>
      <c r="G115" s="61" t="s">
        <v>224</v>
      </c>
      <c r="H115" s="68"/>
      <c r="I115" s="69">
        <f>COUNTIFS('Defect List'!$C$2:$C$161,$C115,'Defect List'!$J$2:$J$161,"&lt;&gt;")/COUNTIF('Defect List'!$C$2:$C$161,$C115)</f>
        <v>0.35294117647058826</v>
      </c>
      <c r="J115" s="67">
        <v>46708</v>
      </c>
      <c r="K115" s="61" t="str">
        <f t="shared" si="1"/>
        <v>WK 45 (27')</v>
      </c>
      <c r="L115" s="61" t="str">
        <f>_xlfn.XLOOKUP(A115,Search!B:B,Search!C:C,"",0)</f>
        <v/>
      </c>
    </row>
    <row r="116" spans="1:12">
      <c r="A116" s="62">
        <v>66554</v>
      </c>
      <c r="B116" s="63" t="s">
        <v>5</v>
      </c>
      <c r="C116" s="64" t="s">
        <v>289</v>
      </c>
      <c r="D116" s="66" t="s">
        <v>202</v>
      </c>
      <c r="E116" s="65" t="s">
        <v>18</v>
      </c>
      <c r="F116" s="61" t="s">
        <v>239</v>
      </c>
      <c r="G116" s="61" t="s">
        <v>223</v>
      </c>
      <c r="H116" s="68"/>
      <c r="I116" s="69">
        <f>COUNTIFS('Defect List'!$C$2:$C$161,$C116,'Defect List'!$J$2:$J$161,"&lt;&gt;")/COUNTIF('Defect List'!$C$2:$C$161,$C116)</f>
        <v>0.4</v>
      </c>
      <c r="J116" s="67"/>
      <c r="K116" s="61" t="str">
        <f t="shared" si="1"/>
        <v/>
      </c>
      <c r="L116" s="61" t="str">
        <f>_xlfn.XLOOKUP(A116,Search!B:B,Search!C:C,"",0)</f>
        <v/>
      </c>
    </row>
    <row r="117" spans="1:12">
      <c r="A117" s="62">
        <v>67674</v>
      </c>
      <c r="B117" s="63" t="s">
        <v>210</v>
      </c>
      <c r="C117" s="64" t="s">
        <v>304</v>
      </c>
      <c r="D117" s="66" t="s">
        <v>200</v>
      </c>
      <c r="E117" s="65" t="s">
        <v>19</v>
      </c>
      <c r="F117" s="61" t="s">
        <v>268</v>
      </c>
      <c r="G117" s="61" t="s">
        <v>223</v>
      </c>
      <c r="H117" s="68"/>
      <c r="I117" s="69">
        <f>COUNTIFS('Defect List'!$C$2:$C$161,$C117,'Defect List'!$J$2:$J$161,"&lt;&gt;")/COUNTIF('Defect List'!$C$2:$C$161,$C117)</f>
        <v>1</v>
      </c>
      <c r="J117" s="67">
        <v>46718</v>
      </c>
      <c r="K117" s="61" t="str">
        <f t="shared" si="1"/>
        <v>WK 47 (27')</v>
      </c>
      <c r="L117" s="61" t="str">
        <f>_xlfn.XLOOKUP(A117,Search!B:B,Search!C:C,"",0)</f>
        <v/>
      </c>
    </row>
    <row r="118" spans="1:12">
      <c r="A118" s="62">
        <v>67986</v>
      </c>
      <c r="B118" s="63" t="s">
        <v>5</v>
      </c>
      <c r="C118" s="64" t="s">
        <v>287</v>
      </c>
      <c r="D118" s="66" t="s">
        <v>195</v>
      </c>
      <c r="E118" s="65" t="s">
        <v>18</v>
      </c>
      <c r="F118" s="61" t="s">
        <v>239</v>
      </c>
      <c r="G118" s="61" t="s">
        <v>224</v>
      </c>
      <c r="H118" s="68"/>
      <c r="I118" s="69">
        <f>COUNTIFS('Defect List'!$C$2:$C$161,$C118,'Defect List'!$J$2:$J$161,"&lt;&gt;")/COUNTIF('Defect List'!$C$2:$C$161,$C118)</f>
        <v>0.3</v>
      </c>
      <c r="J118" s="67"/>
      <c r="K118" s="61" t="str">
        <f t="shared" si="1"/>
        <v/>
      </c>
      <c r="L118" s="61" t="str">
        <f>_xlfn.XLOOKUP(A118,Search!B:B,Search!C:C,"",0)</f>
        <v/>
      </c>
    </row>
    <row r="119" spans="1:12">
      <c r="A119" s="62">
        <v>68364</v>
      </c>
      <c r="B119" s="63" t="s">
        <v>5</v>
      </c>
      <c r="C119" s="64" t="s">
        <v>279</v>
      </c>
      <c r="D119" s="66" t="s">
        <v>191</v>
      </c>
      <c r="E119" s="65" t="s">
        <v>18</v>
      </c>
      <c r="F119" s="61" t="s">
        <v>245</v>
      </c>
      <c r="G119" s="61" t="s">
        <v>224</v>
      </c>
      <c r="H119" s="68"/>
      <c r="I119" s="69">
        <f>COUNTIFS('Defect List'!$C$2:$C$161,$C119,'Defect List'!$J$2:$J$161,"&lt;&gt;")/COUNTIF('Defect List'!$C$2:$C$161,$C119)</f>
        <v>0.35294117647058826</v>
      </c>
      <c r="J119" s="67"/>
      <c r="K119" s="61" t="str">
        <f t="shared" si="1"/>
        <v/>
      </c>
      <c r="L119" s="61" t="str">
        <f>_xlfn.XLOOKUP(A119,Search!B:B,Search!C:C,"",0)</f>
        <v/>
      </c>
    </row>
    <row r="120" spans="1:12">
      <c r="A120" s="62">
        <v>68365</v>
      </c>
      <c r="B120" s="63" t="s">
        <v>5</v>
      </c>
      <c r="C120" s="64" t="s">
        <v>287</v>
      </c>
      <c r="D120" s="66" t="s">
        <v>191</v>
      </c>
      <c r="E120" s="65" t="s">
        <v>18</v>
      </c>
      <c r="F120" s="61" t="s">
        <v>239</v>
      </c>
      <c r="G120" s="61" t="s">
        <v>224</v>
      </c>
      <c r="H120" s="68"/>
      <c r="I120" s="69">
        <f>COUNTIFS('Defect List'!$C$2:$C$161,$C120,'Defect List'!$J$2:$J$161,"&lt;&gt;")/COUNTIF('Defect List'!$C$2:$C$161,$C120)</f>
        <v>0.3</v>
      </c>
      <c r="J120" s="67"/>
      <c r="K120" s="61" t="str">
        <f t="shared" si="1"/>
        <v/>
      </c>
      <c r="L120" s="61" t="str">
        <f>_xlfn.XLOOKUP(A120,Search!B:B,Search!C:C,"",0)</f>
        <v/>
      </c>
    </row>
    <row r="121" spans="1:12">
      <c r="A121" s="62">
        <v>68695</v>
      </c>
      <c r="B121" s="63" t="s">
        <v>210</v>
      </c>
      <c r="C121" s="64" t="s">
        <v>279</v>
      </c>
      <c r="D121" s="66" t="s">
        <v>189</v>
      </c>
      <c r="E121" s="65" t="s">
        <v>18</v>
      </c>
      <c r="F121" s="61" t="s">
        <v>245</v>
      </c>
      <c r="G121" s="61" t="s">
        <v>224</v>
      </c>
      <c r="H121" s="68"/>
      <c r="I121" s="69">
        <f>COUNTIFS('Defect List'!$C$2:$C$161,$C121,'Defect List'!$J$2:$J$161,"&lt;&gt;")/COUNTIF('Defect List'!$C$2:$C$161,$C121)</f>
        <v>0.35294117647058826</v>
      </c>
      <c r="J121" s="67">
        <v>46712</v>
      </c>
      <c r="K121" s="61" t="str">
        <f t="shared" si="1"/>
        <v>WK 46 (27')</v>
      </c>
      <c r="L121" s="61" t="str">
        <f>_xlfn.XLOOKUP(A121,Search!B:B,Search!C:C,"",0)</f>
        <v/>
      </c>
    </row>
    <row r="122" spans="1:12">
      <c r="A122" s="62">
        <v>68719</v>
      </c>
      <c r="B122" s="63" t="s">
        <v>210</v>
      </c>
      <c r="C122" s="64" t="s">
        <v>289</v>
      </c>
      <c r="D122" s="66" t="s">
        <v>189</v>
      </c>
      <c r="E122" s="65" t="s">
        <v>18</v>
      </c>
      <c r="F122" s="61" t="s">
        <v>239</v>
      </c>
      <c r="G122" s="61" t="s">
        <v>224</v>
      </c>
      <c r="H122" s="68"/>
      <c r="I122" s="69">
        <f>COUNTIFS('Defect List'!$C$2:$C$161,$C122,'Defect List'!$J$2:$J$161,"&lt;&gt;")/COUNTIF('Defect List'!$C$2:$C$161,$C122)</f>
        <v>0.4</v>
      </c>
      <c r="J122" s="67">
        <v>46689</v>
      </c>
      <c r="K122" s="61" t="str">
        <f t="shared" si="1"/>
        <v>WK 43 (27')</v>
      </c>
      <c r="L122" s="61" t="str">
        <f>_xlfn.XLOOKUP(A122,Search!B:B,Search!C:C,"",0)</f>
        <v/>
      </c>
    </row>
    <row r="123" spans="1:12">
      <c r="A123" s="62">
        <v>68829</v>
      </c>
      <c r="B123" s="63" t="s">
        <v>5</v>
      </c>
      <c r="C123" s="64" t="s">
        <v>287</v>
      </c>
      <c r="D123" s="66" t="s">
        <v>204</v>
      </c>
      <c r="E123" s="65" t="s">
        <v>18</v>
      </c>
      <c r="F123" s="61" t="s">
        <v>239</v>
      </c>
      <c r="G123" s="61" t="s">
        <v>223</v>
      </c>
      <c r="H123" s="68"/>
      <c r="I123" s="69">
        <f>COUNTIFS('Defect List'!$C$2:$C$161,$C123,'Defect List'!$J$2:$J$161,"&lt;&gt;")/COUNTIF('Defect List'!$C$2:$C$161,$C123)</f>
        <v>0.3</v>
      </c>
      <c r="J123" s="67"/>
      <c r="K123" s="61" t="str">
        <f t="shared" si="1"/>
        <v/>
      </c>
      <c r="L123" s="61" t="str">
        <f>_xlfn.XLOOKUP(A123,Search!B:B,Search!C:C,"",0)</f>
        <v/>
      </c>
    </row>
    <row r="124" spans="1:12">
      <c r="A124" s="62">
        <v>68835</v>
      </c>
      <c r="B124" s="63" t="s">
        <v>5</v>
      </c>
      <c r="C124" s="64" t="s">
        <v>287</v>
      </c>
      <c r="D124" s="66" t="s">
        <v>201</v>
      </c>
      <c r="E124" s="65" t="s">
        <v>18</v>
      </c>
      <c r="F124" s="61" t="s">
        <v>239</v>
      </c>
      <c r="G124" s="61" t="s">
        <v>223</v>
      </c>
      <c r="H124" s="68"/>
      <c r="I124" s="69">
        <f>COUNTIFS('Defect List'!$C$2:$C$161,$C124,'Defect List'!$J$2:$J$161,"&lt;&gt;")/COUNTIF('Defect List'!$C$2:$C$161,$C124)</f>
        <v>0.3</v>
      </c>
      <c r="J124" s="67"/>
      <c r="K124" s="61" t="str">
        <f t="shared" si="1"/>
        <v/>
      </c>
      <c r="L124" s="61" t="str">
        <f>_xlfn.XLOOKUP(A124,Search!B:B,Search!C:C,"",0)</f>
        <v/>
      </c>
    </row>
    <row r="125" spans="1:12">
      <c r="A125" s="62">
        <v>68836</v>
      </c>
      <c r="B125" s="63" t="s">
        <v>5</v>
      </c>
      <c r="C125" s="64" t="s">
        <v>279</v>
      </c>
      <c r="D125" s="66" t="s">
        <v>201</v>
      </c>
      <c r="E125" s="65" t="s">
        <v>18</v>
      </c>
      <c r="F125" s="61" t="s">
        <v>245</v>
      </c>
      <c r="G125" s="61" t="s">
        <v>223</v>
      </c>
      <c r="H125" s="68"/>
      <c r="I125" s="69">
        <f>COUNTIFS('Defect List'!$C$2:$C$161,$C125,'Defect List'!$J$2:$J$161,"&lt;&gt;")/COUNTIF('Defect List'!$C$2:$C$161,$C125)</f>
        <v>0.35294117647058826</v>
      </c>
      <c r="J125" s="67"/>
      <c r="K125" s="61" t="str">
        <f t="shared" si="1"/>
        <v/>
      </c>
      <c r="L125" s="61" t="str">
        <f>_xlfn.XLOOKUP(A125,Search!B:B,Search!C:C,"",0)</f>
        <v/>
      </c>
    </row>
    <row r="126" spans="1:12">
      <c r="A126" s="62">
        <v>69079</v>
      </c>
      <c r="B126" s="63" t="s">
        <v>5</v>
      </c>
      <c r="C126" s="64" t="s">
        <v>274</v>
      </c>
      <c r="D126" s="66" t="s">
        <v>200</v>
      </c>
      <c r="E126" s="65" t="s">
        <v>13</v>
      </c>
      <c r="F126" s="61" t="s">
        <v>243</v>
      </c>
      <c r="G126" s="61" t="s">
        <v>223</v>
      </c>
      <c r="H126" s="68"/>
      <c r="I126" s="69">
        <f>COUNTIFS('Defect List'!$C$2:$C$161,$C126,'Defect List'!$J$2:$J$161,"&lt;&gt;")/COUNTIF('Defect List'!$C$2:$C$161,$C126)</f>
        <v>0.4</v>
      </c>
      <c r="J126" s="67"/>
      <c r="K126" s="61" t="str">
        <f t="shared" si="1"/>
        <v/>
      </c>
      <c r="L126" s="61" t="str">
        <f>_xlfn.XLOOKUP(A126,Search!B:B,Search!C:C,"",0)</f>
        <v/>
      </c>
    </row>
    <row r="127" spans="1:12">
      <c r="A127" s="62">
        <v>69081</v>
      </c>
      <c r="B127" s="63" t="s">
        <v>5</v>
      </c>
      <c r="C127" s="64" t="s">
        <v>282</v>
      </c>
      <c r="D127" s="66" t="s">
        <v>200</v>
      </c>
      <c r="E127" s="65" t="s">
        <v>13</v>
      </c>
      <c r="F127" s="61" t="s">
        <v>250</v>
      </c>
      <c r="G127" s="61" t="s">
        <v>223</v>
      </c>
      <c r="H127" s="68"/>
      <c r="I127" s="69">
        <f>COUNTIFS('Defect List'!$C$2:$C$161,$C127,'Defect List'!$J$2:$J$161,"&lt;&gt;")/COUNTIF('Defect List'!$C$2:$C$161,$C127)</f>
        <v>0.3</v>
      </c>
      <c r="J127" s="67"/>
      <c r="K127" s="61" t="str">
        <f t="shared" si="1"/>
        <v/>
      </c>
      <c r="L127" s="61" t="str">
        <f>_xlfn.XLOOKUP(A127,Search!B:B,Search!C:C,"",0)</f>
        <v/>
      </c>
    </row>
    <row r="128" spans="1:12">
      <c r="A128" s="62">
        <v>69095</v>
      </c>
      <c r="B128" s="63" t="s">
        <v>210</v>
      </c>
      <c r="C128" s="64" t="s">
        <v>277</v>
      </c>
      <c r="D128" s="66" t="s">
        <v>190</v>
      </c>
      <c r="E128" s="65" t="s">
        <v>13</v>
      </c>
      <c r="F128" s="61" t="s">
        <v>249</v>
      </c>
      <c r="G128" s="61" t="s">
        <v>224</v>
      </c>
      <c r="H128" s="68"/>
      <c r="I128" s="69">
        <f>COUNTIFS('Defect List'!$C$2:$C$161,$C128,'Defect List'!$J$2:$J$161,"&lt;&gt;")/COUNTIF('Defect List'!$C$2:$C$161,$C128)</f>
        <v>0.22222222222222221</v>
      </c>
      <c r="J128" s="67">
        <v>46700</v>
      </c>
      <c r="K128" s="61" t="str">
        <f t="shared" si="1"/>
        <v>WK 44 (27')</v>
      </c>
      <c r="L128" s="61" t="str">
        <f>_xlfn.XLOOKUP(A128,Search!B:B,Search!C:C,"",0)</f>
        <v/>
      </c>
    </row>
    <row r="129" spans="1:13">
      <c r="A129" s="62">
        <v>69096</v>
      </c>
      <c r="B129" s="63" t="s">
        <v>5</v>
      </c>
      <c r="C129" s="64" t="s">
        <v>284</v>
      </c>
      <c r="D129" s="66" t="s">
        <v>200</v>
      </c>
      <c r="E129" s="65" t="s">
        <v>13</v>
      </c>
      <c r="F129" s="61" t="s">
        <v>255</v>
      </c>
      <c r="G129" s="61" t="s">
        <v>223</v>
      </c>
      <c r="H129" s="68"/>
      <c r="I129" s="69">
        <f>COUNTIFS('Defect List'!$C$2:$C$161,$C129,'Defect List'!$J$2:$J$161,"&lt;&gt;")/COUNTIF('Defect List'!$C$2:$C$161,$C129)</f>
        <v>0.2857142857142857</v>
      </c>
      <c r="J129" s="67"/>
      <c r="K129" s="61" t="str">
        <f t="shared" si="1"/>
        <v/>
      </c>
      <c r="L129" s="61" t="str">
        <f>_xlfn.XLOOKUP(A129,Search!B:B,Search!C:C,"",0)</f>
        <v/>
      </c>
    </row>
    <row r="130" spans="1:13">
      <c r="A130" s="62">
        <v>69097</v>
      </c>
      <c r="B130" s="63" t="s">
        <v>5</v>
      </c>
      <c r="C130" s="64" t="s">
        <v>286</v>
      </c>
      <c r="D130" s="66" t="s">
        <v>200</v>
      </c>
      <c r="E130" s="65" t="s">
        <v>13</v>
      </c>
      <c r="F130" s="61" t="s">
        <v>265</v>
      </c>
      <c r="G130" s="61" t="s">
        <v>223</v>
      </c>
      <c r="H130" s="68"/>
      <c r="I130" s="69">
        <f>COUNTIFS('Defect List'!$C$2:$C$161,$C130,'Defect List'!$J$2:$J$161,"&lt;&gt;")/COUNTIF('Defect List'!$C$2:$C$161,$C130)</f>
        <v>0.25</v>
      </c>
      <c r="J130" s="67"/>
      <c r="K130" s="61" t="str">
        <f t="shared" si="1"/>
        <v/>
      </c>
      <c r="L130" s="61" t="str">
        <f>_xlfn.XLOOKUP(A130,Search!B:B,Search!C:C,"",0)</f>
        <v/>
      </c>
    </row>
    <row r="131" spans="1:13">
      <c r="A131" s="62">
        <v>69098</v>
      </c>
      <c r="B131" s="63" t="s">
        <v>5</v>
      </c>
      <c r="C131" s="64" t="s">
        <v>280</v>
      </c>
      <c r="D131" s="66" t="s">
        <v>200</v>
      </c>
      <c r="E131" s="65" t="s">
        <v>13</v>
      </c>
      <c r="F131" s="61" t="s">
        <v>255</v>
      </c>
      <c r="G131" s="61" t="s">
        <v>223</v>
      </c>
      <c r="H131" s="68"/>
      <c r="I131" s="69">
        <f>COUNTIFS('Defect List'!$C$2:$C$161,$C131,'Defect List'!$J$2:$J$161,"&lt;&gt;")/COUNTIF('Defect List'!$C$2:$C$161,$C131)</f>
        <v>0.2857142857142857</v>
      </c>
      <c r="J131" s="67"/>
      <c r="K131" s="61" t="str">
        <f t="shared" ref="K131:K161" si="2">IFERROR(IF($J131&lt;&gt;"","WK "&amp;INT(($J131- DATE(2027,1,7)) / 7) + 1&amp;" (27')",""),"Cancelled")</f>
        <v/>
      </c>
      <c r="L131" s="61" t="str">
        <f>_xlfn.XLOOKUP(A131,Search!B:B,Search!C:C,"",0)</f>
        <v/>
      </c>
    </row>
    <row r="132" spans="1:13">
      <c r="A132" s="62">
        <v>69099</v>
      </c>
      <c r="B132" s="63" t="s">
        <v>210</v>
      </c>
      <c r="C132" s="64" t="s">
        <v>274</v>
      </c>
      <c r="D132" s="66" t="s">
        <v>190</v>
      </c>
      <c r="E132" s="65" t="s">
        <v>13</v>
      </c>
      <c r="F132" s="61" t="s">
        <v>243</v>
      </c>
      <c r="G132" s="61" t="s">
        <v>224</v>
      </c>
      <c r="H132" s="68"/>
      <c r="I132" s="69">
        <f>COUNTIFS('Defect List'!$C$2:$C$161,$C132,'Defect List'!$J$2:$J$161,"&lt;&gt;")/COUNTIF('Defect List'!$C$2:$C$161,$C132)</f>
        <v>0.4</v>
      </c>
      <c r="J132" s="67">
        <v>46701</v>
      </c>
      <c r="K132" s="61" t="str">
        <f t="shared" si="2"/>
        <v>WK 44 (27')</v>
      </c>
      <c r="L132" s="61" t="str">
        <f>_xlfn.XLOOKUP(A132,Search!B:B,Search!C:C,"",0)</f>
        <v/>
      </c>
    </row>
    <row r="133" spans="1:13">
      <c r="A133" s="62">
        <v>69475</v>
      </c>
      <c r="B133" s="63" t="s">
        <v>5</v>
      </c>
      <c r="C133" s="64" t="s">
        <v>279</v>
      </c>
      <c r="D133" s="66" t="s">
        <v>197</v>
      </c>
      <c r="E133" s="65" t="s">
        <v>18</v>
      </c>
      <c r="F133" s="61" t="s">
        <v>245</v>
      </c>
      <c r="G133" s="61" t="s">
        <v>224</v>
      </c>
      <c r="H133" s="71"/>
      <c r="I133" s="69">
        <f>COUNTIFS('Defect List'!$C$2:$C$161,$C133,'Defect List'!$J$2:$J$161,"&lt;&gt;")/COUNTIF('Defect List'!$C$2:$C$161,$C133)</f>
        <v>0.35294117647058826</v>
      </c>
      <c r="J133" s="67"/>
      <c r="K133" s="61" t="str">
        <f t="shared" si="2"/>
        <v/>
      </c>
      <c r="L133" s="61" t="str">
        <f>_xlfn.XLOOKUP(A133,Search!B:B,Search!C:C,"",0)</f>
        <v/>
      </c>
    </row>
    <row r="134" spans="1:13">
      <c r="A134" s="62">
        <v>69917</v>
      </c>
      <c r="B134" s="63" t="s">
        <v>210</v>
      </c>
      <c r="C134" s="64" t="s">
        <v>287</v>
      </c>
      <c r="D134" s="66" t="s">
        <v>189</v>
      </c>
      <c r="E134" s="65" t="s">
        <v>18</v>
      </c>
      <c r="F134" s="61" t="s">
        <v>239</v>
      </c>
      <c r="G134" s="61" t="s">
        <v>224</v>
      </c>
      <c r="H134" s="68"/>
      <c r="I134" s="69">
        <f>COUNTIFS('Defect List'!$C$2:$C$161,$C134,'Defect List'!$J$2:$J$161,"&lt;&gt;")/COUNTIF('Defect List'!$C$2:$C$161,$C134)</f>
        <v>0.3</v>
      </c>
      <c r="J134" s="67">
        <v>46711</v>
      </c>
      <c r="K134" s="61" t="str">
        <f t="shared" si="2"/>
        <v>WK 46 (27')</v>
      </c>
      <c r="L134" s="61" t="str">
        <f>_xlfn.XLOOKUP(A134,Search!B:B,Search!C:C,"",0)</f>
        <v/>
      </c>
    </row>
    <row r="135" spans="1:13">
      <c r="A135" s="62">
        <v>70003</v>
      </c>
      <c r="B135" s="63" t="s">
        <v>5</v>
      </c>
      <c r="C135" s="64" t="s">
        <v>292</v>
      </c>
      <c r="D135" s="66" t="s">
        <v>196</v>
      </c>
      <c r="E135" s="65" t="s">
        <v>18</v>
      </c>
      <c r="F135" s="61" t="s">
        <v>243</v>
      </c>
      <c r="G135" s="61" t="s">
        <v>224</v>
      </c>
      <c r="H135" s="71"/>
      <c r="I135" s="69">
        <f>COUNTIFS('Defect List'!$C$2:$C$161,$C135,'Defect List'!$J$2:$J$161,"&lt;&gt;")/COUNTIF('Defect List'!$C$2:$C$161,$C135)</f>
        <v>0.33333333333333331</v>
      </c>
      <c r="J135" s="67"/>
      <c r="K135" s="61" t="str">
        <f t="shared" si="2"/>
        <v/>
      </c>
      <c r="L135" s="61" t="str">
        <f>_xlfn.XLOOKUP(A135,Search!B:B,Search!C:C,"",0)</f>
        <v/>
      </c>
    </row>
    <row r="136" spans="1:13">
      <c r="A136" s="62">
        <v>70004</v>
      </c>
      <c r="B136" s="63" t="s">
        <v>5</v>
      </c>
      <c r="C136" s="64" t="s">
        <v>287</v>
      </c>
      <c r="D136" s="66" t="s">
        <v>192</v>
      </c>
      <c r="E136" s="65" t="s">
        <v>18</v>
      </c>
      <c r="F136" s="61" t="s">
        <v>239</v>
      </c>
      <c r="G136" s="61" t="s">
        <v>224</v>
      </c>
      <c r="H136" s="71"/>
      <c r="I136" s="69">
        <f>COUNTIFS('Defect List'!$C$2:$C$161,$C136,'Defect List'!$J$2:$J$161,"&lt;&gt;")/COUNTIF('Defect List'!$C$2:$C$161,$C136)</f>
        <v>0.3</v>
      </c>
      <c r="J136" s="67"/>
      <c r="K136" s="61" t="str">
        <f t="shared" si="2"/>
        <v/>
      </c>
      <c r="L136" s="61" t="str">
        <f>_xlfn.XLOOKUP(A136,Search!B:B,Search!C:C,"",0)</f>
        <v/>
      </c>
    </row>
    <row r="137" spans="1:13">
      <c r="A137" s="62">
        <v>70005</v>
      </c>
      <c r="B137" s="63" t="s">
        <v>5</v>
      </c>
      <c r="C137" s="64" t="s">
        <v>279</v>
      </c>
      <c r="D137" s="66" t="s">
        <v>196</v>
      </c>
      <c r="E137" s="65" t="s">
        <v>18</v>
      </c>
      <c r="F137" s="61" t="s">
        <v>245</v>
      </c>
      <c r="G137" s="61" t="s">
        <v>224</v>
      </c>
      <c r="H137" s="71"/>
      <c r="I137" s="69">
        <f>COUNTIFS('Defect List'!$C$2:$C$161,$C137,'Defect List'!$J$2:$J$161,"&lt;&gt;")/COUNTIF('Defect List'!$C$2:$C$161,$C137)</f>
        <v>0.35294117647058826</v>
      </c>
      <c r="J137" s="67"/>
      <c r="K137" s="61" t="str">
        <f t="shared" si="2"/>
        <v/>
      </c>
      <c r="L137" s="61" t="str">
        <f>_xlfn.XLOOKUP(A137,Search!B:B,Search!C:C,"",0)</f>
        <v/>
      </c>
    </row>
    <row r="138" spans="1:13">
      <c r="A138" s="62">
        <v>70007</v>
      </c>
      <c r="B138" s="63" t="s">
        <v>5</v>
      </c>
      <c r="C138" s="64" t="s">
        <v>288</v>
      </c>
      <c r="D138" s="66" t="s">
        <v>196</v>
      </c>
      <c r="E138" s="65" t="s">
        <v>18</v>
      </c>
      <c r="F138" s="61" t="s">
        <v>247</v>
      </c>
      <c r="G138" s="61" t="s">
        <v>224</v>
      </c>
      <c r="H138" s="71"/>
      <c r="I138" s="69">
        <f>COUNTIFS('Defect List'!$C$2:$C$161,$C138,'Defect List'!$J$2:$J$161,"&lt;&gt;")/COUNTIF('Defect List'!$C$2:$C$161,$C138)</f>
        <v>0.5</v>
      </c>
      <c r="J138" s="67"/>
      <c r="K138" s="61" t="str">
        <f t="shared" si="2"/>
        <v/>
      </c>
      <c r="L138" s="61" t="str">
        <f>_xlfn.XLOOKUP(A138,Search!B:B,Search!C:C,"",0)</f>
        <v/>
      </c>
    </row>
    <row r="139" spans="1:13">
      <c r="A139" s="62">
        <v>70053</v>
      </c>
      <c r="B139" s="63" t="s">
        <v>5</v>
      </c>
      <c r="C139" s="64" t="s">
        <v>300</v>
      </c>
      <c r="D139" s="66" t="s">
        <v>225</v>
      </c>
      <c r="E139" s="65" t="s">
        <v>18</v>
      </c>
      <c r="F139" s="61" t="s">
        <v>245</v>
      </c>
      <c r="G139" s="61" t="s">
        <v>224</v>
      </c>
      <c r="H139" s="68"/>
      <c r="I139" s="69">
        <f>COUNTIFS('Defect List'!$C$2:$C$161,$C139,'Defect List'!$J$2:$J$161,"&lt;&gt;")/COUNTIF('Defect List'!$C$2:$C$161,$C139)</f>
        <v>0</v>
      </c>
      <c r="J139" s="67"/>
      <c r="K139" s="61" t="str">
        <f t="shared" si="2"/>
        <v/>
      </c>
      <c r="L139" s="61" t="str">
        <f>_xlfn.XLOOKUP(A139,Search!B:B,Search!C:C,"",0)</f>
        <v/>
      </c>
    </row>
    <row r="140" spans="1:13">
      <c r="A140" s="62">
        <v>70056</v>
      </c>
      <c r="B140" s="63" t="s">
        <v>5</v>
      </c>
      <c r="C140" s="64" t="s">
        <v>292</v>
      </c>
      <c r="D140" s="66" t="s">
        <v>198</v>
      </c>
      <c r="E140" s="65" t="s">
        <v>18</v>
      </c>
      <c r="F140" s="61" t="s">
        <v>243</v>
      </c>
      <c r="G140" s="61" t="s">
        <v>224</v>
      </c>
      <c r="H140" s="68"/>
      <c r="I140" s="69">
        <f>COUNTIFS('Defect List'!$C$2:$C$161,$C140,'Defect List'!$J$2:$J$161,"&lt;&gt;")/COUNTIF('Defect List'!$C$2:$C$161,$C140)</f>
        <v>0.33333333333333331</v>
      </c>
      <c r="J140" s="67"/>
      <c r="K140" s="61" t="str">
        <f t="shared" si="2"/>
        <v/>
      </c>
      <c r="L140" s="61" t="str">
        <f>_xlfn.XLOOKUP(A140,Search!B:B,Search!C:C,"",0)</f>
        <v/>
      </c>
    </row>
    <row r="141" spans="1:13">
      <c r="A141" s="62">
        <v>70221</v>
      </c>
      <c r="B141" s="63" t="s">
        <v>5</v>
      </c>
      <c r="C141" s="64" t="s">
        <v>292</v>
      </c>
      <c r="D141" s="66" t="s">
        <v>194</v>
      </c>
      <c r="E141" s="65" t="s">
        <v>18</v>
      </c>
      <c r="F141" s="61" t="s">
        <v>243</v>
      </c>
      <c r="G141" s="61" t="s">
        <v>224</v>
      </c>
      <c r="H141" s="68"/>
      <c r="I141" s="69">
        <f>COUNTIFS('Defect List'!$C$2:$C$161,$C141,'Defect List'!$J$2:$J$161,"&lt;&gt;")/COUNTIF('Defect List'!$C$2:$C$161,$C141)</f>
        <v>0.33333333333333331</v>
      </c>
      <c r="J141" s="67"/>
      <c r="K141" s="61" t="str">
        <f t="shared" si="2"/>
        <v/>
      </c>
      <c r="L141" s="61" t="str">
        <f>_xlfn.XLOOKUP(A141,Search!B:B,Search!C:C,"",0)</f>
        <v/>
      </c>
    </row>
    <row r="142" spans="1:13">
      <c r="A142" s="62">
        <v>70225</v>
      </c>
      <c r="B142" s="63" t="s">
        <v>210</v>
      </c>
      <c r="C142" s="64" t="s">
        <v>288</v>
      </c>
      <c r="D142" s="66" t="s">
        <v>189</v>
      </c>
      <c r="E142" s="65" t="s">
        <v>18</v>
      </c>
      <c r="F142" s="61" t="s">
        <v>247</v>
      </c>
      <c r="G142" s="61" t="s">
        <v>224</v>
      </c>
      <c r="H142" s="68"/>
      <c r="I142" s="69">
        <f>COUNTIFS('Defect List'!$C$2:$C$161,$C142,'Defect List'!$J$2:$J$161,"&lt;&gt;")/COUNTIF('Defect List'!$C$2:$C$161,$C142)</f>
        <v>0.5</v>
      </c>
      <c r="J142" s="67">
        <v>46709</v>
      </c>
      <c r="K142" s="61" t="str">
        <f t="shared" si="2"/>
        <v>WK 46 (27')</v>
      </c>
      <c r="L142" s="61" t="str">
        <f>_xlfn.XLOOKUP(A142,Search!B:B,Search!C:C,"",0)</f>
        <v/>
      </c>
    </row>
    <row r="143" spans="1:13">
      <c r="A143" s="62">
        <v>70226</v>
      </c>
      <c r="B143" s="63" t="s">
        <v>5</v>
      </c>
      <c r="C143" s="64" t="s">
        <v>279</v>
      </c>
      <c r="D143" s="66" t="s">
        <v>194</v>
      </c>
      <c r="E143" s="65" t="s">
        <v>18</v>
      </c>
      <c r="F143" s="61" t="s">
        <v>245</v>
      </c>
      <c r="G143" s="61" t="s">
        <v>224</v>
      </c>
      <c r="H143" s="68"/>
      <c r="I143" s="69">
        <f>COUNTIFS('Defect List'!$C$2:$C$161,$C143,'Defect List'!$J$2:$J$161,"&lt;&gt;")/COUNTIF('Defect List'!$C$2:$C$161,$C143)</f>
        <v>0.35294117647058826</v>
      </c>
      <c r="J143" s="67"/>
      <c r="K143" s="61" t="str">
        <f t="shared" si="2"/>
        <v/>
      </c>
      <c r="L143" s="61" t="str">
        <f>_xlfn.XLOOKUP(A143,Search!B:B,Search!C:C,"",0)</f>
        <v/>
      </c>
    </row>
    <row r="144" spans="1:13" s="72" customFormat="1">
      <c r="A144" s="62">
        <v>70228</v>
      </c>
      <c r="B144" s="63" t="s">
        <v>210</v>
      </c>
      <c r="C144" s="64" t="s">
        <v>292</v>
      </c>
      <c r="D144" s="66" t="s">
        <v>189</v>
      </c>
      <c r="E144" s="65" t="s">
        <v>18</v>
      </c>
      <c r="F144" s="61" t="s">
        <v>243</v>
      </c>
      <c r="G144" s="61" t="s">
        <v>224</v>
      </c>
      <c r="H144" s="68"/>
      <c r="I144" s="69">
        <f>COUNTIFS('Defect List'!$C$2:$C$161,$C144,'Defect List'!$J$2:$J$161,"&lt;&gt;")/COUNTIF('Defect List'!$C$2:$C$161,$C144)</f>
        <v>0.33333333333333331</v>
      </c>
      <c r="J144" s="67">
        <v>46696</v>
      </c>
      <c r="K144" s="61" t="str">
        <f t="shared" si="2"/>
        <v>WK 44 (27')</v>
      </c>
      <c r="L144" s="61" t="str">
        <f>_xlfn.XLOOKUP(A144,Search!B:B,Search!C:C,"",0)</f>
        <v/>
      </c>
      <c r="M144"/>
    </row>
    <row r="145" spans="1:12">
      <c r="A145" s="62">
        <v>70471</v>
      </c>
      <c r="B145" s="63" t="s">
        <v>210</v>
      </c>
      <c r="C145" s="64" t="s">
        <v>279</v>
      </c>
      <c r="D145" s="66" t="s">
        <v>200</v>
      </c>
      <c r="E145" s="65" t="s">
        <v>18</v>
      </c>
      <c r="F145" s="61" t="s">
        <v>245</v>
      </c>
      <c r="G145" s="61" t="s">
        <v>223</v>
      </c>
      <c r="H145" s="68"/>
      <c r="I145" s="69">
        <f>COUNTIFS('Defect List'!$C$2:$C$161,$C145,'Defect List'!$J$2:$J$161,"&lt;&gt;")/COUNTIF('Defect List'!$C$2:$C$161,$C145)</f>
        <v>0.35294117647058826</v>
      </c>
      <c r="J145" s="67">
        <v>46685</v>
      </c>
      <c r="K145" s="61" t="str">
        <f t="shared" si="2"/>
        <v>WK 42 (27')</v>
      </c>
      <c r="L145" s="61" t="str">
        <f>_xlfn.XLOOKUP(A145,Search!B:B,Search!C:C,"",0)</f>
        <v/>
      </c>
    </row>
    <row r="146" spans="1:12">
      <c r="A146" s="62">
        <v>70941</v>
      </c>
      <c r="B146" s="63" t="s">
        <v>210</v>
      </c>
      <c r="C146" s="64" t="s">
        <v>273</v>
      </c>
      <c r="D146" s="66" t="s">
        <v>189</v>
      </c>
      <c r="E146" s="70" t="s">
        <v>13</v>
      </c>
      <c r="F146" s="61" t="s">
        <v>249</v>
      </c>
      <c r="G146" s="61" t="s">
        <v>224</v>
      </c>
      <c r="H146" s="68"/>
      <c r="I146" s="69">
        <f>COUNTIFS('Defect List'!$C$2:$C$161,$C146,'Defect List'!$J$2:$J$161,"&lt;&gt;")/COUNTIF('Defect List'!$C$2:$C$161,$C146)</f>
        <v>0.2857142857142857</v>
      </c>
      <c r="J146" s="67">
        <v>46699</v>
      </c>
      <c r="K146" s="61" t="str">
        <f t="shared" si="2"/>
        <v>WK 44 (27')</v>
      </c>
      <c r="L146" s="61" t="str">
        <f>_xlfn.XLOOKUP(A146,Search!B:B,Search!C:C,"",0)</f>
        <v/>
      </c>
    </row>
    <row r="147" spans="1:12">
      <c r="A147" s="62">
        <v>72021</v>
      </c>
      <c r="B147" s="63" t="s">
        <v>210</v>
      </c>
      <c r="C147" s="64" t="s">
        <v>275</v>
      </c>
      <c r="D147" s="66" t="s">
        <v>189</v>
      </c>
      <c r="E147" s="70" t="s">
        <v>13</v>
      </c>
      <c r="F147" s="61" t="s">
        <v>249</v>
      </c>
      <c r="G147" s="61" t="s">
        <v>224</v>
      </c>
      <c r="H147" s="73"/>
      <c r="I147" s="69">
        <f>COUNTIFS('Defect List'!$C$2:$C$161,$C147,'Defect List'!$J$2:$J$161,"&lt;&gt;")/COUNTIF('Defect List'!$C$2:$C$161,$C147)</f>
        <v>0.3125</v>
      </c>
      <c r="J147" s="67">
        <v>46695</v>
      </c>
      <c r="K147" s="61" t="str">
        <f t="shared" si="2"/>
        <v>WK 44 (27')</v>
      </c>
      <c r="L147" s="61" t="str">
        <f>_xlfn.XLOOKUP(A147,Search!B:B,Search!C:C,"",0)</f>
        <v/>
      </c>
    </row>
    <row r="148" spans="1:12">
      <c r="A148" s="62">
        <v>72945</v>
      </c>
      <c r="B148" s="63" t="s">
        <v>210</v>
      </c>
      <c r="C148" s="64" t="s">
        <v>275</v>
      </c>
      <c r="D148" s="66" t="s">
        <v>200</v>
      </c>
      <c r="E148" s="65" t="s">
        <v>13</v>
      </c>
      <c r="F148" s="61" t="s">
        <v>249</v>
      </c>
      <c r="G148" s="61" t="s">
        <v>223</v>
      </c>
      <c r="H148" s="68"/>
      <c r="I148" s="69">
        <f>COUNTIFS('Defect List'!$C$2:$C$161,$C148,'Defect List'!$J$2:$J$161,"&lt;&gt;")/COUNTIF('Defect List'!$C$2:$C$161,$C148)</f>
        <v>0.3125</v>
      </c>
      <c r="J148" s="67">
        <v>46683</v>
      </c>
      <c r="K148" s="61" t="str">
        <f t="shared" si="2"/>
        <v>WK 42 (27')</v>
      </c>
      <c r="L148" s="61" t="str">
        <f>_xlfn.XLOOKUP(A148,Search!B:B,Search!C:C,"",0)</f>
        <v/>
      </c>
    </row>
    <row r="149" spans="1:12">
      <c r="A149" s="62">
        <v>72947</v>
      </c>
      <c r="B149" s="63" t="s">
        <v>210</v>
      </c>
      <c r="C149" s="64" t="s">
        <v>274</v>
      </c>
      <c r="D149" s="66" t="s">
        <v>189</v>
      </c>
      <c r="E149" s="65" t="s">
        <v>13</v>
      </c>
      <c r="F149" s="61" t="s">
        <v>243</v>
      </c>
      <c r="G149" s="61" t="s">
        <v>224</v>
      </c>
      <c r="H149" s="68"/>
      <c r="I149" s="69">
        <f>COUNTIFS('Defect List'!$C$2:$C$161,$C149,'Defect List'!$J$2:$J$161,"&lt;&gt;")/COUNTIF('Defect List'!$C$2:$C$161,$C149)</f>
        <v>0.4</v>
      </c>
      <c r="J149" s="67">
        <v>46681</v>
      </c>
      <c r="K149" s="61" t="str">
        <f t="shared" si="2"/>
        <v>WK 42 (27')</v>
      </c>
      <c r="L149" s="61" t="str">
        <f>_xlfn.XLOOKUP(A149,Search!B:B,Search!C:C,"",0)</f>
        <v/>
      </c>
    </row>
    <row r="150" spans="1:12">
      <c r="A150" s="62">
        <v>72952</v>
      </c>
      <c r="B150" s="63" t="s">
        <v>210</v>
      </c>
      <c r="C150" s="64" t="s">
        <v>282</v>
      </c>
      <c r="D150" s="66" t="s">
        <v>189</v>
      </c>
      <c r="E150" s="65" t="s">
        <v>13</v>
      </c>
      <c r="F150" s="61" t="s">
        <v>250</v>
      </c>
      <c r="G150" s="61" t="s">
        <v>224</v>
      </c>
      <c r="H150" s="68"/>
      <c r="I150" s="69">
        <f>COUNTIFS('Defect List'!$C$2:$C$161,$C150,'Defect List'!$J$2:$J$161,"&lt;&gt;")/COUNTIF('Defect List'!$C$2:$C$161,$C150)</f>
        <v>0.3</v>
      </c>
      <c r="J150" s="67">
        <v>46694</v>
      </c>
      <c r="K150" s="61" t="str">
        <f t="shared" si="2"/>
        <v>WK 43 (27')</v>
      </c>
      <c r="L150" s="61" t="str">
        <f>_xlfn.XLOOKUP(A150,Search!B:B,Search!C:C,"",0)</f>
        <v/>
      </c>
    </row>
    <row r="151" spans="1:12">
      <c r="A151" s="62">
        <v>72953</v>
      </c>
      <c r="B151" s="63" t="s">
        <v>210</v>
      </c>
      <c r="C151" s="64" t="s">
        <v>280</v>
      </c>
      <c r="D151" s="66" t="s">
        <v>200</v>
      </c>
      <c r="E151" s="65" t="s">
        <v>13</v>
      </c>
      <c r="F151" s="61" t="s">
        <v>255</v>
      </c>
      <c r="G151" s="61" t="s">
        <v>223</v>
      </c>
      <c r="H151" s="68"/>
      <c r="I151" s="69">
        <f>COUNTIFS('Defect List'!$C$2:$C$161,$C151,'Defect List'!$J$2:$J$161,"&lt;&gt;")/COUNTIF('Defect List'!$C$2:$C$161,$C151)</f>
        <v>0.2857142857142857</v>
      </c>
      <c r="J151" s="67">
        <v>46689</v>
      </c>
      <c r="K151" s="61" t="str">
        <f t="shared" si="2"/>
        <v>WK 43 (27')</v>
      </c>
      <c r="L151" s="61" t="str">
        <f>_xlfn.XLOOKUP(A151,Search!B:B,Search!C:C,"",0)</f>
        <v/>
      </c>
    </row>
    <row r="152" spans="1:12">
      <c r="A152" s="62">
        <v>72954</v>
      </c>
      <c r="B152" s="63" t="s">
        <v>210</v>
      </c>
      <c r="C152" s="64" t="s">
        <v>284</v>
      </c>
      <c r="D152" s="66" t="s">
        <v>189</v>
      </c>
      <c r="E152" s="65" t="s">
        <v>13</v>
      </c>
      <c r="F152" s="61" t="s">
        <v>255</v>
      </c>
      <c r="G152" s="61" t="s">
        <v>224</v>
      </c>
      <c r="H152" s="68"/>
      <c r="I152" s="69">
        <f>COUNTIFS('Defect List'!$C$2:$C$161,$C152,'Defect List'!$J$2:$J$161,"&lt;&gt;")/COUNTIF('Defect List'!$C$2:$C$161,$C152)</f>
        <v>0.2857142857142857</v>
      </c>
      <c r="J152" s="67">
        <v>46686</v>
      </c>
      <c r="K152" s="61" t="str">
        <f t="shared" si="2"/>
        <v>WK 42 (27')</v>
      </c>
      <c r="L152" s="61" t="str">
        <f>_xlfn.XLOOKUP(A152,Search!B:B,Search!C:C,"",0)</f>
        <v/>
      </c>
    </row>
    <row r="153" spans="1:12">
      <c r="A153" s="62">
        <v>72955</v>
      </c>
      <c r="B153" s="63" t="s">
        <v>210</v>
      </c>
      <c r="C153" s="64" t="s">
        <v>276</v>
      </c>
      <c r="D153" s="66" t="s">
        <v>189</v>
      </c>
      <c r="E153" s="65" t="s">
        <v>13</v>
      </c>
      <c r="F153" s="61" t="s">
        <v>249</v>
      </c>
      <c r="G153" s="61" t="s">
        <v>224</v>
      </c>
      <c r="H153" s="68"/>
      <c r="I153" s="69">
        <f>COUNTIFS('Defect List'!$C$2:$C$161,$C153,'Defect List'!$J$2:$J$161,"&lt;&gt;")/COUNTIF('Defect List'!$C$2:$C$161,$C153)</f>
        <v>0.27272727272727271</v>
      </c>
      <c r="J153" s="67">
        <v>46719</v>
      </c>
      <c r="K153" s="61" t="str">
        <f t="shared" si="2"/>
        <v>WK 47 (27')</v>
      </c>
      <c r="L153" s="61" t="str">
        <f>_xlfn.XLOOKUP(A153,Search!B:B,Search!C:C,"",0)</f>
        <v/>
      </c>
    </row>
    <row r="154" spans="1:12">
      <c r="A154" s="62">
        <v>72956</v>
      </c>
      <c r="B154" s="63" t="s">
        <v>210</v>
      </c>
      <c r="C154" s="64" t="s">
        <v>286</v>
      </c>
      <c r="D154" s="66" t="s">
        <v>200</v>
      </c>
      <c r="E154" s="65" t="s">
        <v>13</v>
      </c>
      <c r="F154" s="61" t="s">
        <v>265</v>
      </c>
      <c r="G154" s="61" t="s">
        <v>223</v>
      </c>
      <c r="H154" s="68"/>
      <c r="I154" s="69">
        <f>COUNTIFS('Defect List'!$C$2:$C$161,$C154,'Defect List'!$J$2:$J$161,"&lt;&gt;")/COUNTIF('Defect List'!$C$2:$C$161,$C154)</f>
        <v>0.25</v>
      </c>
      <c r="J154" s="67">
        <v>46707</v>
      </c>
      <c r="K154" s="61" t="str">
        <f t="shared" si="2"/>
        <v>WK 45 (27')</v>
      </c>
      <c r="L154" s="61" t="str">
        <f>_xlfn.XLOOKUP(A154,Search!B:B,Search!C:C,"",0)</f>
        <v/>
      </c>
    </row>
    <row r="155" spans="1:12">
      <c r="A155" s="62">
        <v>72999</v>
      </c>
      <c r="B155" s="63" t="s">
        <v>210</v>
      </c>
      <c r="C155" s="64" t="s">
        <v>305</v>
      </c>
      <c r="D155" s="66" t="s">
        <v>189</v>
      </c>
      <c r="E155" s="65" t="s">
        <v>19</v>
      </c>
      <c r="F155" s="61" t="s">
        <v>268</v>
      </c>
      <c r="G155" s="61" t="s">
        <v>224</v>
      </c>
      <c r="H155" s="68"/>
      <c r="I155" s="69">
        <f>COUNTIFS('Defect List'!$C$2:$C$161,$C155,'Defect List'!$J$2:$J$161,"&lt;&gt;")/COUNTIF('Defect List'!$C$2:$C$161,$C155)</f>
        <v>1</v>
      </c>
      <c r="J155" s="67">
        <v>46694</v>
      </c>
      <c r="K155" s="61" t="str">
        <f t="shared" si="2"/>
        <v>WK 43 (27')</v>
      </c>
      <c r="L155" s="61" t="str">
        <f>_xlfn.XLOOKUP(A155,Search!B:B,Search!C:C,"",0)</f>
        <v/>
      </c>
    </row>
    <row r="156" spans="1:12">
      <c r="A156" s="62">
        <v>73001</v>
      </c>
      <c r="B156" s="63" t="s">
        <v>210</v>
      </c>
      <c r="C156" s="64" t="s">
        <v>305</v>
      </c>
      <c r="D156" s="66" t="s">
        <v>189</v>
      </c>
      <c r="E156" s="65" t="s">
        <v>19</v>
      </c>
      <c r="F156" s="61" t="s">
        <v>268</v>
      </c>
      <c r="G156" s="61" t="s">
        <v>224</v>
      </c>
      <c r="H156" s="68"/>
      <c r="I156" s="69">
        <f>COUNTIFS('Defect List'!$C$2:$C$161,$C156,'Defect List'!$J$2:$J$161,"&lt;&gt;")/COUNTIF('Defect List'!$C$2:$C$161,$C156)</f>
        <v>1</v>
      </c>
      <c r="J156" s="67">
        <v>46705</v>
      </c>
      <c r="K156" s="61" t="str">
        <f t="shared" si="2"/>
        <v>WK 45 (27')</v>
      </c>
      <c r="L156" s="61" t="str">
        <f>_xlfn.XLOOKUP(A156,Search!B:B,Search!C:C,"",0)</f>
        <v/>
      </c>
    </row>
    <row r="157" spans="1:12">
      <c r="A157" s="62">
        <v>74978</v>
      </c>
      <c r="B157" s="63" t="s">
        <v>210</v>
      </c>
      <c r="C157" s="64" t="s">
        <v>287</v>
      </c>
      <c r="D157" s="66" t="s">
        <v>200</v>
      </c>
      <c r="E157" s="65" t="s">
        <v>18</v>
      </c>
      <c r="F157" s="61" t="s">
        <v>239</v>
      </c>
      <c r="G157" s="61" t="s">
        <v>223</v>
      </c>
      <c r="H157" s="68"/>
      <c r="I157" s="69">
        <f>COUNTIFS('Defect List'!$C$2:$C$161,$C157,'Defect List'!$J$2:$J$161,"&lt;&gt;")/COUNTIF('Defect List'!$C$2:$C$161,$C157)</f>
        <v>0.3</v>
      </c>
      <c r="J157" s="67">
        <v>46707</v>
      </c>
      <c r="K157" s="61" t="str">
        <f t="shared" si="2"/>
        <v>WK 45 (27')</v>
      </c>
      <c r="L157" s="61" t="str">
        <f>_xlfn.XLOOKUP(A157,Search!B:B,Search!C:C,"",0)</f>
        <v/>
      </c>
    </row>
    <row r="158" spans="1:12">
      <c r="A158" s="62">
        <v>75561</v>
      </c>
      <c r="B158" s="63" t="s">
        <v>210</v>
      </c>
      <c r="C158" s="64" t="s">
        <v>279</v>
      </c>
      <c r="D158" s="66" t="s">
        <v>200</v>
      </c>
      <c r="E158" s="74" t="s">
        <v>18</v>
      </c>
      <c r="F158" s="61" t="s">
        <v>245</v>
      </c>
      <c r="G158" s="61" t="s">
        <v>223</v>
      </c>
      <c r="H158" s="75"/>
      <c r="I158" s="69">
        <f>COUNTIFS('Defect List'!$C$2:$C$161,$C158,'Defect List'!$J$2:$J$161,"&lt;&gt;")/COUNTIF('Defect List'!$C$2:$C$161,$C158)</f>
        <v>0.35294117647058826</v>
      </c>
      <c r="J158" s="67">
        <v>46685</v>
      </c>
      <c r="K158" s="61" t="str">
        <f t="shared" si="2"/>
        <v>WK 42 (27')</v>
      </c>
      <c r="L158" s="61" t="str">
        <f>_xlfn.XLOOKUP(A158,Search!B:B,Search!C:C,"",0)</f>
        <v/>
      </c>
    </row>
    <row r="159" spans="1:12">
      <c r="A159" s="62">
        <v>75563</v>
      </c>
      <c r="B159" s="63" t="s">
        <v>210</v>
      </c>
      <c r="C159" s="64" t="s">
        <v>279</v>
      </c>
      <c r="D159" s="66" t="s">
        <v>200</v>
      </c>
      <c r="E159" s="74" t="s">
        <v>18</v>
      </c>
      <c r="F159" s="61" t="s">
        <v>245</v>
      </c>
      <c r="G159" s="61" t="s">
        <v>223</v>
      </c>
      <c r="H159" s="75"/>
      <c r="I159" s="69">
        <f>COUNTIFS('Defect List'!$C$2:$C$161,$C159,'Defect List'!$J$2:$J$161,"&lt;&gt;")/COUNTIF('Defect List'!$C$2:$C$161,$C159)</f>
        <v>0.35294117647058826</v>
      </c>
      <c r="J159" s="67">
        <v>46680</v>
      </c>
      <c r="K159" s="61" t="str">
        <f t="shared" si="2"/>
        <v>WK 41 (27')</v>
      </c>
      <c r="L159" s="61" t="str">
        <f>_xlfn.XLOOKUP(A159,Search!B:B,Search!C:C,"",0)</f>
        <v/>
      </c>
    </row>
    <row r="160" spans="1:12">
      <c r="A160" s="62">
        <v>75564</v>
      </c>
      <c r="B160" s="63" t="s">
        <v>210</v>
      </c>
      <c r="C160" s="64" t="s">
        <v>287</v>
      </c>
      <c r="D160" s="66" t="s">
        <v>200</v>
      </c>
      <c r="E160" s="74" t="s">
        <v>18</v>
      </c>
      <c r="F160" s="61" t="s">
        <v>239</v>
      </c>
      <c r="G160" s="61" t="s">
        <v>223</v>
      </c>
      <c r="H160" s="75"/>
      <c r="I160" s="69">
        <f>COUNTIFS('Defect List'!$C$2:$C$161,$C160,'Defect List'!$J$2:$J$161,"&lt;&gt;")/COUNTIF('Defect List'!$C$2:$C$161,$C160)</f>
        <v>0.3</v>
      </c>
      <c r="J160" s="67">
        <v>46703</v>
      </c>
      <c r="K160" s="61" t="str">
        <f t="shared" si="2"/>
        <v>WK 45 (27')</v>
      </c>
      <c r="L160" s="61" t="str">
        <f>_xlfn.XLOOKUP(A160,Search!B:B,Search!C:C,"",0)</f>
        <v/>
      </c>
    </row>
    <row r="161" spans="1:32">
      <c r="A161" s="62">
        <v>75570</v>
      </c>
      <c r="B161" s="63" t="s">
        <v>210</v>
      </c>
      <c r="C161" s="64" t="s">
        <v>288</v>
      </c>
      <c r="D161" s="66" t="s">
        <v>200</v>
      </c>
      <c r="E161" s="74" t="s">
        <v>18</v>
      </c>
      <c r="F161" s="61" t="s">
        <v>247</v>
      </c>
      <c r="G161" s="61" t="s">
        <v>223</v>
      </c>
      <c r="H161" s="75"/>
      <c r="I161" s="69">
        <f>COUNTIFS('Defect List'!$C$2:$C$161,$C161,'Defect List'!$J$2:$J$161,"&lt;&gt;")/COUNTIF('Defect List'!$C$2:$C$161,$C161)</f>
        <v>0.5</v>
      </c>
      <c r="J161" s="67">
        <v>46681</v>
      </c>
      <c r="K161" s="61" t="str">
        <f t="shared" si="2"/>
        <v>WK 42 (27')</v>
      </c>
      <c r="L161" s="61" t="str">
        <f>_xlfn.XLOOKUP(A161,Search!B:B,Search!C:C,"",0)</f>
        <v/>
      </c>
    </row>
    <row r="174" spans="1:32" s="58" customFormat="1">
      <c r="A174" s="62"/>
      <c r="B174"/>
      <c r="C174"/>
      <c r="D174"/>
      <c r="E174"/>
      <c r="F174"/>
      <c r="G174"/>
      <c r="H174"/>
      <c r="I174"/>
      <c r="J174" s="76"/>
      <c r="K174"/>
      <c r="L174"/>
      <c r="M174"/>
      <c r="N174"/>
      <c r="O174"/>
      <c r="P174"/>
      <c r="Q174"/>
      <c r="R174"/>
      <c r="S174"/>
      <c r="T174"/>
      <c r="U174"/>
      <c r="V174"/>
      <c r="W174"/>
      <c r="X174"/>
      <c r="Y174"/>
      <c r="Z174"/>
      <c r="AA174"/>
      <c r="AB174"/>
      <c r="AC174"/>
      <c r="AD174"/>
      <c r="AE174"/>
      <c r="AF174"/>
    </row>
  </sheetData>
  <autoFilter ref="A1:L161" xr:uid="{085751F2-D66B-464F-8B39-A259E59CE831}"/>
  <sortState xmlns:xlrd2="http://schemas.microsoft.com/office/spreadsheetml/2017/richdata2" ref="A2:K161">
    <sortCondition ref="A2:A161"/>
  </sortState>
  <conditionalFormatting sqref="A2:A1048576">
    <cfRule type="duplicateValues" dxfId="3" priority="2"/>
  </conditionalFormatting>
  <conditionalFormatting sqref="I2:I161">
    <cfRule type="dataBar" priority="1564">
      <dataBar>
        <cfvo type="min"/>
        <cfvo type="max"/>
        <color rgb="FF63C384"/>
      </dataBar>
      <extLst>
        <ext xmlns:x14="http://schemas.microsoft.com/office/spreadsheetml/2009/9/main" uri="{B025F937-C7B1-47D3-B67F-A62EFF666E3E}">
          <x14:id>{684C9BA3-6A08-44FE-814B-F65B37BADD15}</x14:id>
        </ext>
      </extLst>
    </cfRule>
  </conditionalFormatting>
  <conditionalFormatting sqref="G1:G1048576">
    <cfRule type="cellIs" dxfId="2" priority="1" operator="equal">
      <formula>"Major"</formula>
    </cfRule>
  </conditionalFormatting>
  <dataValidations count="2">
    <dataValidation type="list" allowBlank="1" showInputMessage="1" showErrorMessage="1" sqref="B2:B1048576" xr:uid="{1157571D-19DA-4DE1-998E-A74B92D48771}">
      <formula1>"Closed, Cancelled, Outstanding"</formula1>
    </dataValidation>
    <dataValidation type="list" allowBlank="1" showInputMessage="1" showErrorMessage="1" sqref="G2:G1048576" xr:uid="{96E2D5BE-D0DD-4CF8-B075-CC3DE850A0B3}">
      <formula1>"Major, Minor"</formula1>
    </dataValidation>
  </dataValidations>
  <printOptions horizontalCentered="1"/>
  <pageMargins left="0.7" right="0.7" top="0.75" bottom="0.75" header="0.3" footer="0.3"/>
  <pageSetup paperSize="9" scale="64" fitToHeight="0" orientation="landscape" r:id="rId1"/>
  <extLst>
    <ext xmlns:x14="http://schemas.microsoft.com/office/spreadsheetml/2009/9/main" uri="{78C0D931-6437-407d-A8EE-F0AAD7539E65}">
      <x14:conditionalFormattings>
        <x14:conditionalFormatting xmlns:xm="http://schemas.microsoft.com/office/excel/2006/main">
          <x14:cfRule type="dataBar" id="{684C9BA3-6A08-44FE-814B-F65B37BADD15}">
            <x14:dataBar minLength="0" maxLength="100" border="1" negativeBarBorderColorSameAsPositive="0">
              <x14:cfvo type="autoMin"/>
              <x14:cfvo type="autoMax"/>
              <x14:borderColor rgb="FF63C384"/>
              <x14:negativeFillColor rgb="FFFF0000"/>
              <x14:negativeBorderColor rgb="FFFF0000"/>
              <x14:axisColor rgb="FF000000"/>
            </x14:dataBar>
          </x14:cfRule>
          <xm:sqref>I2:I161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A69D8-8003-42FF-8E5A-A3BE6801D6BC}">
  <sheetPr codeName="Sheet7">
    <tabColor theme="4" tint="0.59999389629810485"/>
  </sheetPr>
  <dimension ref="A1:G101"/>
  <sheetViews>
    <sheetView workbookViewId="0">
      <selection activeCell="M27" sqref="M27"/>
    </sheetView>
  </sheetViews>
  <sheetFormatPr defaultRowHeight="14.4"/>
  <cols>
    <col min="1" max="1" width="10.77734375" bestFit="1" customWidth="1"/>
    <col min="2" max="2" width="27.6640625" bestFit="1" customWidth="1"/>
    <col min="3" max="3" width="32.21875" bestFit="1" customWidth="1"/>
    <col min="4" max="4" width="13.21875" bestFit="1" customWidth="1"/>
    <col min="5" max="5" width="8.77734375" bestFit="1" customWidth="1"/>
    <col min="6" max="6" width="16.88671875" bestFit="1" customWidth="1"/>
    <col min="7" max="7" width="37.88671875" bestFit="1" customWidth="1"/>
  </cols>
  <sheetData>
    <row r="1" spans="1:7">
      <c r="A1" t="s">
        <v>3</v>
      </c>
      <c r="B1" t="s">
        <v>220</v>
      </c>
      <c r="C1" t="s">
        <v>215</v>
      </c>
      <c r="D1" t="s">
        <v>218</v>
      </c>
      <c r="E1" t="s">
        <v>418</v>
      </c>
      <c r="F1" t="s">
        <v>426</v>
      </c>
      <c r="G1" t="s">
        <v>237</v>
      </c>
    </row>
    <row r="2" spans="1:7">
      <c r="A2" t="s">
        <v>5</v>
      </c>
      <c r="B2" t="s">
        <v>274</v>
      </c>
      <c r="C2" t="s">
        <v>204</v>
      </c>
      <c r="D2" t="s">
        <v>223</v>
      </c>
      <c r="E2" s="95" t="s">
        <v>243</v>
      </c>
      <c r="F2" s="95" t="s">
        <v>244</v>
      </c>
      <c r="G2" t="str">
        <f>"No. "&amp;COUNTIF($B$2:B2,Defect_List[[#This Row],[Work Order Number]])&amp;") "&amp;Defect_List[[#This Row],[Description]]</f>
        <v>No. 1) Regulatory Approval Pending</v>
      </c>
    </row>
    <row r="3" spans="1:7">
      <c r="A3" t="s">
        <v>5</v>
      </c>
      <c r="B3" t="s">
        <v>274</v>
      </c>
      <c r="C3" t="s">
        <v>200</v>
      </c>
      <c r="D3" t="s">
        <v>223</v>
      </c>
      <c r="E3" s="95" t="s">
        <v>243</v>
      </c>
      <c r="F3" s="95" t="s">
        <v>244</v>
      </c>
      <c r="G3" t="str">
        <f>"No. "&amp;COUNTIF($B$2:B3,Defect_List[[#This Row],[Work Order Number]])&amp;") "&amp;Defect_List[[#This Row],[Description]]</f>
        <v>No. 2) Electrical Safety Non-Compliance</v>
      </c>
    </row>
    <row r="4" spans="1:7">
      <c r="A4" t="s">
        <v>5</v>
      </c>
      <c r="B4" t="s">
        <v>274</v>
      </c>
      <c r="C4" t="s">
        <v>186</v>
      </c>
      <c r="D4" t="s">
        <v>224</v>
      </c>
      <c r="E4" s="95" t="s">
        <v>243</v>
      </c>
      <c r="F4" s="95" t="s">
        <v>244</v>
      </c>
      <c r="G4" t="str">
        <f>"No. "&amp;COUNTIF($B$2:B4,Defect_List[[#This Row],[Work Order Number]])&amp;") "&amp;Defect_List[[#This Row],[Description]]</f>
        <v>No. 3) Missing Equipment Label</v>
      </c>
    </row>
    <row r="5" spans="1:7">
      <c r="A5" t="s">
        <v>5</v>
      </c>
      <c r="B5" t="s">
        <v>274</v>
      </c>
      <c r="C5" t="s">
        <v>199</v>
      </c>
      <c r="D5" t="s">
        <v>224</v>
      </c>
      <c r="E5" s="95" t="s">
        <v>243</v>
      </c>
      <c r="F5" s="95" t="s">
        <v>244</v>
      </c>
      <c r="G5" t="str">
        <f>"No. "&amp;COUNTIF($B$2:B5,Defect_List[[#This Row],[Work Order Number]])&amp;") "&amp;Defect_List[[#This Row],[Description]]</f>
        <v>No. 4) Missing physical receipt of purchase</v>
      </c>
    </row>
    <row r="6" spans="1:7">
      <c r="A6" t="s">
        <v>5</v>
      </c>
      <c r="B6" t="s">
        <v>274</v>
      </c>
      <c r="C6" t="s">
        <v>196</v>
      </c>
      <c r="D6" t="s">
        <v>224</v>
      </c>
      <c r="E6" s="95" t="s">
        <v>243</v>
      </c>
      <c r="F6" s="95" t="s">
        <v>244</v>
      </c>
      <c r="G6" t="str">
        <f>"No. "&amp;COUNTIF($B$2:B6,Defect_List[[#This Row],[Work Order Number]])&amp;") "&amp;Defect_List[[#This Row],[Description]]</f>
        <v>No. 5) Photo Evidence Missing</v>
      </c>
    </row>
    <row r="7" spans="1:7">
      <c r="A7" t="s">
        <v>5</v>
      </c>
      <c r="B7" t="s">
        <v>274</v>
      </c>
      <c r="C7" t="s">
        <v>189</v>
      </c>
      <c r="D7" t="s">
        <v>224</v>
      </c>
      <c r="E7" s="95" t="s">
        <v>243</v>
      </c>
      <c r="F7" s="95" t="s">
        <v>244</v>
      </c>
      <c r="G7" t="str">
        <f>"No. "&amp;COUNTIF($B$2:B7,Defect_List[[#This Row],[Work Order Number]])&amp;") "&amp;Defect_List[[#This Row],[Description]]</f>
        <v>No. 6) Checklist Not Signed</v>
      </c>
    </row>
    <row r="8" spans="1:7">
      <c r="A8" t="s">
        <v>5</v>
      </c>
      <c r="B8" t="s">
        <v>274</v>
      </c>
      <c r="C8" t="s">
        <v>190</v>
      </c>
      <c r="D8" t="s">
        <v>224</v>
      </c>
      <c r="E8" s="95" t="s">
        <v>243</v>
      </c>
      <c r="F8" s="95" t="s">
        <v>244</v>
      </c>
      <c r="G8" t="str">
        <f>"No. "&amp;COUNTIF($B$2:B8,Defect_List[[#This Row],[Work Order Number]])&amp;") "&amp;Defect_List[[#This Row],[Description]]</f>
        <v>No. 7) Calibration Record Pending</v>
      </c>
    </row>
    <row r="9" spans="1:7">
      <c r="A9" t="s">
        <v>5</v>
      </c>
      <c r="B9" t="s">
        <v>274</v>
      </c>
      <c r="C9" t="s">
        <v>195</v>
      </c>
      <c r="D9" t="s">
        <v>224</v>
      </c>
      <c r="E9" s="95" t="s">
        <v>243</v>
      </c>
      <c r="F9" s="95" t="s">
        <v>244</v>
      </c>
      <c r="G9" t="str">
        <f>"No. "&amp;COUNTIF($B$2:B9,Defect_List[[#This Row],[Work Order Number]])&amp;") "&amp;Defect_List[[#This Row],[Description]]</f>
        <v>No. 8) Final Inspection Pending</v>
      </c>
    </row>
    <row r="10" spans="1:7">
      <c r="A10" t="s">
        <v>5</v>
      </c>
      <c r="B10" t="s">
        <v>274</v>
      </c>
      <c r="C10" t="s">
        <v>197</v>
      </c>
      <c r="D10" t="s">
        <v>224</v>
      </c>
      <c r="E10" s="95" t="s">
        <v>243</v>
      </c>
      <c r="F10" s="95" t="s">
        <v>244</v>
      </c>
      <c r="G10" t="str">
        <f>"No. "&amp;COUNTIF($B$2:B10,Defect_List[[#This Row],[Work Order Number]])&amp;") "&amp;Defect_List[[#This Row],[Description]]</f>
        <v>No. 9) Supervisor Acknowledgement Pending</v>
      </c>
    </row>
    <row r="11" spans="1:7">
      <c r="A11" t="s">
        <v>5</v>
      </c>
      <c r="B11" t="s">
        <v>281</v>
      </c>
      <c r="C11" t="s">
        <v>187</v>
      </c>
      <c r="D11" t="s">
        <v>224</v>
      </c>
      <c r="E11" s="95" t="s">
        <v>239</v>
      </c>
      <c r="F11" s="95" t="s">
        <v>240</v>
      </c>
      <c r="G11" t="str">
        <f>"No. "&amp;COUNTIF($B$2:B11,Defect_List[[#This Row],[Work Order Number]])&amp;") "&amp;Defect_List[[#This Row],[Description]]</f>
        <v>No. 1) Incomplete Maintenance Record</v>
      </c>
    </row>
    <row r="12" spans="1:7">
      <c r="A12" t="s">
        <v>5</v>
      </c>
      <c r="B12" t="s">
        <v>281</v>
      </c>
      <c r="C12" t="s">
        <v>199</v>
      </c>
      <c r="D12" t="s">
        <v>224</v>
      </c>
      <c r="E12" s="95" t="s">
        <v>239</v>
      </c>
      <c r="F12" s="95" t="s">
        <v>240</v>
      </c>
      <c r="G12" t="str">
        <f>"No. "&amp;COUNTIF($B$2:B12,Defect_List[[#This Row],[Work Order Number]])&amp;") "&amp;Defect_List[[#This Row],[Description]]</f>
        <v>No. 2) Missing physical receipt of purchase</v>
      </c>
    </row>
    <row r="13" spans="1:7">
      <c r="A13" t="s">
        <v>5</v>
      </c>
      <c r="B13" t="s">
        <v>280</v>
      </c>
      <c r="C13" t="s">
        <v>200</v>
      </c>
      <c r="D13" t="s">
        <v>223</v>
      </c>
      <c r="E13" s="95" t="s">
        <v>255</v>
      </c>
      <c r="F13" s="95" t="s">
        <v>256</v>
      </c>
      <c r="G13" t="str">
        <f>"No. "&amp;COUNTIF($B$2:B13,Defect_List[[#This Row],[Work Order Number]])&amp;") "&amp;Defect_List[[#This Row],[Description]]</f>
        <v>No. 1) Electrical Safety Non-Compliance</v>
      </c>
    </row>
    <row r="14" spans="1:7">
      <c r="A14" t="s">
        <v>5</v>
      </c>
      <c r="B14" t="s">
        <v>280</v>
      </c>
      <c r="C14" t="s">
        <v>202</v>
      </c>
      <c r="D14" t="s">
        <v>223</v>
      </c>
      <c r="E14" s="95" t="s">
        <v>255</v>
      </c>
      <c r="F14" s="95" t="s">
        <v>256</v>
      </c>
      <c r="G14" t="str">
        <f>"No. "&amp;COUNTIF($B$2:B14,Defect_List[[#This Row],[Work Order Number]])&amp;") "&amp;Defect_List[[#This Row],[Description]]</f>
        <v>No. 2) Fire Protection System Incomplete</v>
      </c>
    </row>
    <row r="15" spans="1:7">
      <c r="A15" t="s">
        <v>5</v>
      </c>
      <c r="B15" t="s">
        <v>280</v>
      </c>
      <c r="C15" t="s">
        <v>204</v>
      </c>
      <c r="D15" t="s">
        <v>223</v>
      </c>
      <c r="E15" s="95" t="s">
        <v>255</v>
      </c>
      <c r="F15" s="95" t="s">
        <v>256</v>
      </c>
      <c r="G15" t="str">
        <f>"No. "&amp;COUNTIF($B$2:B15,Defect_List[[#This Row],[Work Order Number]])&amp;") "&amp;Defect_List[[#This Row],[Description]]</f>
        <v>No. 3) Regulatory Approval Pending</v>
      </c>
    </row>
    <row r="16" spans="1:7">
      <c r="A16" t="s">
        <v>5</v>
      </c>
      <c r="B16" t="s">
        <v>280</v>
      </c>
      <c r="C16" t="s">
        <v>189</v>
      </c>
      <c r="D16" t="s">
        <v>224</v>
      </c>
      <c r="E16" s="95" t="s">
        <v>255</v>
      </c>
      <c r="F16" s="95" t="s">
        <v>256</v>
      </c>
      <c r="G16" t="str">
        <f>"No. "&amp;COUNTIF($B$2:B16,Defect_List[[#This Row],[Work Order Number]])&amp;") "&amp;Defect_List[[#This Row],[Description]]</f>
        <v>No. 4) Checklist Not Signed</v>
      </c>
    </row>
    <row r="17" spans="1:7">
      <c r="A17" t="s">
        <v>5</v>
      </c>
      <c r="B17" t="s">
        <v>280</v>
      </c>
      <c r="C17" t="s">
        <v>188</v>
      </c>
      <c r="D17" t="s">
        <v>224</v>
      </c>
      <c r="E17" s="95" t="s">
        <v>255</v>
      </c>
      <c r="F17" s="95" t="s">
        <v>256</v>
      </c>
      <c r="G17" t="str">
        <f>"No. "&amp;COUNTIF($B$2:B17,Defect_List[[#This Row],[Work Order Number]])&amp;") "&amp;Defect_List[[#This Row],[Description]]</f>
        <v>No. 5) Incorrect Asset Tag</v>
      </c>
    </row>
    <row r="18" spans="1:7">
      <c r="A18" t="s">
        <v>5</v>
      </c>
      <c r="B18" t="s">
        <v>284</v>
      </c>
      <c r="C18" t="s">
        <v>201</v>
      </c>
      <c r="D18" t="s">
        <v>223</v>
      </c>
      <c r="E18" s="95" t="s">
        <v>255</v>
      </c>
      <c r="F18" s="95" t="s">
        <v>256</v>
      </c>
      <c r="G18" t="str">
        <f>"No. "&amp;COUNTIF($B$2:B18,Defect_List[[#This Row],[Work Order Number]])&amp;") "&amp;Defect_List[[#This Row],[Description]]</f>
        <v>No. 1) Structural Integrity Issue</v>
      </c>
    </row>
    <row r="19" spans="1:7">
      <c r="A19" t="s">
        <v>5</v>
      </c>
      <c r="B19" t="s">
        <v>284</v>
      </c>
      <c r="C19" t="s">
        <v>204</v>
      </c>
      <c r="D19" t="s">
        <v>223</v>
      </c>
      <c r="E19" s="95" t="s">
        <v>255</v>
      </c>
      <c r="F19" s="95" t="s">
        <v>256</v>
      </c>
      <c r="G19" t="str">
        <f>"No. "&amp;COUNTIF($B$2:B19,Defect_List[[#This Row],[Work Order Number]])&amp;") "&amp;Defect_List[[#This Row],[Description]]</f>
        <v>No. 2) Regulatory Approval Pending</v>
      </c>
    </row>
    <row r="20" spans="1:7">
      <c r="A20" t="s">
        <v>5</v>
      </c>
      <c r="B20" t="s">
        <v>284</v>
      </c>
      <c r="C20" t="s">
        <v>200</v>
      </c>
      <c r="D20" t="s">
        <v>223</v>
      </c>
      <c r="E20" s="95" t="s">
        <v>255</v>
      </c>
      <c r="F20" s="95" t="s">
        <v>256</v>
      </c>
      <c r="G20" t="str">
        <f>"No. "&amp;COUNTIF($B$2:B20,Defect_List[[#This Row],[Work Order Number]])&amp;") "&amp;Defect_List[[#This Row],[Description]]</f>
        <v>No. 3) Electrical Safety Non-Compliance</v>
      </c>
    </row>
    <row r="21" spans="1:7">
      <c r="A21" t="s">
        <v>5</v>
      </c>
      <c r="B21" t="s">
        <v>284</v>
      </c>
      <c r="C21" t="s">
        <v>186</v>
      </c>
      <c r="D21" t="s">
        <v>224</v>
      </c>
      <c r="E21" s="95" t="s">
        <v>255</v>
      </c>
      <c r="F21" s="95" t="s">
        <v>256</v>
      </c>
      <c r="G21" t="str">
        <f>"No. "&amp;COUNTIF($B$2:B21,Defect_List[[#This Row],[Work Order Number]])&amp;") "&amp;Defect_List[[#This Row],[Description]]</f>
        <v>No. 4) Missing Equipment Label</v>
      </c>
    </row>
    <row r="22" spans="1:7">
      <c r="A22" t="s">
        <v>5</v>
      </c>
      <c r="B22" t="s">
        <v>284</v>
      </c>
      <c r="C22" t="s">
        <v>188</v>
      </c>
      <c r="D22" t="s">
        <v>224</v>
      </c>
      <c r="E22" s="95" t="s">
        <v>255</v>
      </c>
      <c r="F22" s="95" t="s">
        <v>256</v>
      </c>
      <c r="G22" t="str">
        <f>"No. "&amp;COUNTIF($B$2:B22,Defect_List[[#This Row],[Work Order Number]])&amp;") "&amp;Defect_List[[#This Row],[Description]]</f>
        <v>No. 5) Incorrect Asset Tag</v>
      </c>
    </row>
    <row r="23" spans="1:7">
      <c r="A23" t="s">
        <v>5</v>
      </c>
      <c r="B23" t="s">
        <v>278</v>
      </c>
      <c r="C23" t="s">
        <v>188</v>
      </c>
      <c r="D23" t="s">
        <v>224</v>
      </c>
      <c r="E23" s="95" t="s">
        <v>255</v>
      </c>
      <c r="F23" s="95" t="s">
        <v>256</v>
      </c>
      <c r="G23" t="str">
        <f>"No. "&amp;COUNTIF($B$2:B23,Defect_List[[#This Row],[Work Order Number]])&amp;") "&amp;Defect_List[[#This Row],[Description]]</f>
        <v>No. 1) Incorrect Asset Tag</v>
      </c>
    </row>
    <row r="24" spans="1:7">
      <c r="A24" t="s">
        <v>5</v>
      </c>
      <c r="B24" t="s">
        <v>278</v>
      </c>
      <c r="C24" t="s">
        <v>197</v>
      </c>
      <c r="D24" t="s">
        <v>224</v>
      </c>
      <c r="E24" s="95" t="s">
        <v>255</v>
      </c>
      <c r="F24" s="95" t="s">
        <v>256</v>
      </c>
      <c r="G24" t="str">
        <f>"No. "&amp;COUNTIF($B$2:B24,Defect_List[[#This Row],[Work Order Number]])&amp;") "&amp;Defect_List[[#This Row],[Description]]</f>
        <v>No. 2) Supervisor Acknowledgement Pending</v>
      </c>
    </row>
    <row r="25" spans="1:7">
      <c r="A25" t="s">
        <v>5</v>
      </c>
      <c r="B25" t="s">
        <v>278</v>
      </c>
      <c r="C25" t="s">
        <v>189</v>
      </c>
      <c r="D25" t="s">
        <v>224</v>
      </c>
      <c r="E25" s="95" t="s">
        <v>255</v>
      </c>
      <c r="F25" s="95" t="s">
        <v>256</v>
      </c>
      <c r="G25" t="str">
        <f>"No. "&amp;COUNTIF($B$2:B25,Defect_List[[#This Row],[Work Order Number]])&amp;") "&amp;Defect_List[[#This Row],[Description]]</f>
        <v>No. 3) Checklist Not Signed</v>
      </c>
    </row>
    <row r="26" spans="1:7">
      <c r="A26" t="s">
        <v>5</v>
      </c>
      <c r="B26" t="s">
        <v>278</v>
      </c>
      <c r="C26" t="s">
        <v>195</v>
      </c>
      <c r="D26" t="s">
        <v>224</v>
      </c>
      <c r="E26" s="95" t="s">
        <v>255</v>
      </c>
      <c r="F26" s="95" t="s">
        <v>256</v>
      </c>
      <c r="G26" t="str">
        <f>"No. "&amp;COUNTIF($B$2:B26,Defect_List[[#This Row],[Work Order Number]])&amp;") "&amp;Defect_List[[#This Row],[Description]]</f>
        <v>No. 4) Final Inspection Pending</v>
      </c>
    </row>
    <row r="27" spans="1:7">
      <c r="A27" t="s">
        <v>5</v>
      </c>
      <c r="B27" t="s">
        <v>277</v>
      </c>
      <c r="C27" t="s">
        <v>201</v>
      </c>
      <c r="D27" t="s">
        <v>223</v>
      </c>
      <c r="E27" s="95" t="s">
        <v>249</v>
      </c>
      <c r="F27" s="95" t="s">
        <v>249</v>
      </c>
      <c r="G27" t="str">
        <f>"No. "&amp;COUNTIF($B$2:B27,Defect_List[[#This Row],[Work Order Number]])&amp;") "&amp;Defect_List[[#This Row],[Description]]</f>
        <v>No. 1) Structural Integrity Issue</v>
      </c>
    </row>
    <row r="28" spans="1:7">
      <c r="A28" t="s">
        <v>5</v>
      </c>
      <c r="B28" t="s">
        <v>277</v>
      </c>
      <c r="C28" t="s">
        <v>199</v>
      </c>
      <c r="D28" t="s">
        <v>224</v>
      </c>
      <c r="E28" s="95" t="s">
        <v>249</v>
      </c>
      <c r="F28" s="95" t="s">
        <v>249</v>
      </c>
      <c r="G28" t="str">
        <f>"No. "&amp;COUNTIF($B$2:B28,Defect_List[[#This Row],[Work Order Number]])&amp;") "&amp;Defect_List[[#This Row],[Description]]</f>
        <v>No. 2) Missing physical receipt of purchase</v>
      </c>
    </row>
    <row r="29" spans="1:7">
      <c r="A29" t="s">
        <v>5</v>
      </c>
      <c r="B29" t="s">
        <v>277</v>
      </c>
      <c r="C29" t="s">
        <v>196</v>
      </c>
      <c r="D29" t="s">
        <v>224</v>
      </c>
      <c r="E29" s="95" t="s">
        <v>249</v>
      </c>
      <c r="F29" s="95" t="s">
        <v>249</v>
      </c>
      <c r="G29" t="str">
        <f>"No. "&amp;COUNTIF($B$2:B29,Defect_List[[#This Row],[Work Order Number]])&amp;") "&amp;Defect_List[[#This Row],[Description]]</f>
        <v>No. 3) Photo Evidence Missing</v>
      </c>
    </row>
    <row r="30" spans="1:7">
      <c r="A30" t="s">
        <v>5</v>
      </c>
      <c r="B30" t="s">
        <v>277</v>
      </c>
      <c r="C30" t="s">
        <v>189</v>
      </c>
      <c r="D30" t="s">
        <v>224</v>
      </c>
      <c r="E30" s="95" t="s">
        <v>249</v>
      </c>
      <c r="F30" s="95" t="s">
        <v>249</v>
      </c>
      <c r="G30" t="str">
        <f>"No. "&amp;COUNTIF($B$2:B30,Defect_List[[#This Row],[Work Order Number]])&amp;") "&amp;Defect_List[[#This Row],[Description]]</f>
        <v>No. 4) Checklist Not Signed</v>
      </c>
    </row>
    <row r="31" spans="1:7">
      <c r="A31" t="s">
        <v>5</v>
      </c>
      <c r="B31" t="s">
        <v>277</v>
      </c>
      <c r="C31" t="s">
        <v>197</v>
      </c>
      <c r="D31" t="s">
        <v>224</v>
      </c>
      <c r="E31" s="95" t="s">
        <v>249</v>
      </c>
      <c r="F31" s="95" t="s">
        <v>249</v>
      </c>
      <c r="G31" t="str">
        <f>"No. "&amp;COUNTIF($B$2:B31,Defect_List[[#This Row],[Work Order Number]])&amp;") "&amp;Defect_List[[#This Row],[Description]]</f>
        <v>No. 5) Supervisor Acknowledgement Pending</v>
      </c>
    </row>
    <row r="32" spans="1:7">
      <c r="A32" t="s">
        <v>5</v>
      </c>
      <c r="B32" t="s">
        <v>277</v>
      </c>
      <c r="C32" t="s">
        <v>190</v>
      </c>
      <c r="D32" t="s">
        <v>224</v>
      </c>
      <c r="E32" s="95" t="s">
        <v>249</v>
      </c>
      <c r="F32" s="95" t="s">
        <v>249</v>
      </c>
      <c r="G32" t="str">
        <f>"No. "&amp;COUNTIF($B$2:B32,Defect_List[[#This Row],[Work Order Number]])&amp;") "&amp;Defect_List[[#This Row],[Description]]</f>
        <v>No. 6) Calibration Record Pending</v>
      </c>
    </row>
    <row r="33" spans="1:7">
      <c r="A33" t="s">
        <v>5</v>
      </c>
      <c r="B33" t="s">
        <v>277</v>
      </c>
      <c r="C33" t="s">
        <v>186</v>
      </c>
      <c r="D33" t="s">
        <v>224</v>
      </c>
      <c r="E33" s="95" t="s">
        <v>249</v>
      </c>
      <c r="F33" s="95" t="s">
        <v>249</v>
      </c>
      <c r="G33" t="str">
        <f>"No. "&amp;COUNTIF($B$2:B33,Defect_List[[#This Row],[Work Order Number]])&amp;") "&amp;Defect_List[[#This Row],[Description]]</f>
        <v>No. 7) Missing Equipment Label</v>
      </c>
    </row>
    <row r="34" spans="1:7">
      <c r="A34" t="s">
        <v>5</v>
      </c>
      <c r="B34" t="s">
        <v>276</v>
      </c>
      <c r="C34" t="s">
        <v>203</v>
      </c>
      <c r="D34" t="s">
        <v>223</v>
      </c>
      <c r="E34" s="95" t="s">
        <v>249</v>
      </c>
      <c r="F34" s="95" t="s">
        <v>249</v>
      </c>
      <c r="G34" t="str">
        <f>"No. "&amp;COUNTIF($B$2:B34,Defect_List[[#This Row],[Work Order Number]])&amp;") "&amp;Defect_List[[#This Row],[Description]]</f>
        <v>No. 1) Mechanical System Malfunction</v>
      </c>
    </row>
    <row r="35" spans="1:7">
      <c r="A35" t="s">
        <v>5</v>
      </c>
      <c r="B35" t="s">
        <v>276</v>
      </c>
      <c r="C35" t="s">
        <v>200</v>
      </c>
      <c r="D35" t="s">
        <v>223</v>
      </c>
      <c r="E35" s="95" t="s">
        <v>249</v>
      </c>
      <c r="F35" s="95" t="s">
        <v>249</v>
      </c>
      <c r="G35" t="str">
        <f>"No. "&amp;COUNTIF($B$2:B35,Defect_List[[#This Row],[Work Order Number]])&amp;") "&amp;Defect_List[[#This Row],[Description]]</f>
        <v>No. 2) Electrical Safety Non-Compliance</v>
      </c>
    </row>
    <row r="36" spans="1:7">
      <c r="A36" t="s">
        <v>5</v>
      </c>
      <c r="B36" t="s">
        <v>276</v>
      </c>
      <c r="C36" t="s">
        <v>199</v>
      </c>
      <c r="D36" t="s">
        <v>224</v>
      </c>
      <c r="E36" s="95" t="s">
        <v>249</v>
      </c>
      <c r="F36" s="95" t="s">
        <v>249</v>
      </c>
      <c r="G36" t="str">
        <f>"No. "&amp;COUNTIF($B$2:B36,Defect_List[[#This Row],[Work Order Number]])&amp;") "&amp;Defect_List[[#This Row],[Description]]</f>
        <v>No. 3) Missing physical receipt of purchase</v>
      </c>
    </row>
    <row r="37" spans="1:7">
      <c r="A37" t="s">
        <v>5</v>
      </c>
      <c r="B37" t="s">
        <v>276</v>
      </c>
      <c r="C37" t="s">
        <v>189</v>
      </c>
      <c r="D37" t="s">
        <v>224</v>
      </c>
      <c r="E37" s="95" t="s">
        <v>249</v>
      </c>
      <c r="F37" s="95" t="s">
        <v>249</v>
      </c>
      <c r="G37" t="str">
        <f>"No. "&amp;COUNTIF($B$2:B37,Defect_List[[#This Row],[Work Order Number]])&amp;") "&amp;Defect_List[[#This Row],[Description]]</f>
        <v>No. 4) Checklist Not Signed</v>
      </c>
    </row>
    <row r="38" spans="1:7">
      <c r="A38" t="s">
        <v>5</v>
      </c>
      <c r="B38" t="s">
        <v>276</v>
      </c>
      <c r="C38" t="s">
        <v>197</v>
      </c>
      <c r="D38" t="s">
        <v>224</v>
      </c>
      <c r="E38" s="95" t="s">
        <v>249</v>
      </c>
      <c r="F38" s="95" t="s">
        <v>249</v>
      </c>
      <c r="G38" t="str">
        <f>"No. "&amp;COUNTIF($B$2:B38,Defect_List[[#This Row],[Work Order Number]])&amp;") "&amp;Defect_List[[#This Row],[Description]]</f>
        <v>No. 5) Supervisor Acknowledgement Pending</v>
      </c>
    </row>
    <row r="39" spans="1:7">
      <c r="A39" t="s">
        <v>5</v>
      </c>
      <c r="B39" t="s">
        <v>276</v>
      </c>
      <c r="C39" t="s">
        <v>196</v>
      </c>
      <c r="D39" t="s">
        <v>224</v>
      </c>
      <c r="E39" s="95" t="s">
        <v>249</v>
      </c>
      <c r="F39" s="95" t="s">
        <v>249</v>
      </c>
      <c r="G39" t="str">
        <f>"No. "&amp;COUNTIF($B$2:B39,Defect_List[[#This Row],[Work Order Number]])&amp;") "&amp;Defect_List[[#This Row],[Description]]</f>
        <v>No. 6) Photo Evidence Missing</v>
      </c>
    </row>
    <row r="40" spans="1:7">
      <c r="A40" t="s">
        <v>5</v>
      </c>
      <c r="B40" t="s">
        <v>276</v>
      </c>
      <c r="C40" t="s">
        <v>187</v>
      </c>
      <c r="D40" t="s">
        <v>224</v>
      </c>
      <c r="E40" s="95" t="s">
        <v>249</v>
      </c>
      <c r="F40" s="95" t="s">
        <v>249</v>
      </c>
      <c r="G40" t="str">
        <f>"No. "&amp;COUNTIF($B$2:B40,Defect_List[[#This Row],[Work Order Number]])&amp;") "&amp;Defect_List[[#This Row],[Description]]</f>
        <v>No. 7) Incomplete Maintenance Record</v>
      </c>
    </row>
    <row r="41" spans="1:7">
      <c r="A41" t="s">
        <v>5</v>
      </c>
      <c r="B41" t="s">
        <v>276</v>
      </c>
      <c r="C41" t="s">
        <v>188</v>
      </c>
      <c r="D41" t="s">
        <v>224</v>
      </c>
      <c r="E41" s="95" t="s">
        <v>249</v>
      </c>
      <c r="F41" s="95" t="s">
        <v>249</v>
      </c>
      <c r="G41" t="str">
        <f>"No. "&amp;COUNTIF($B$2:B41,Defect_List[[#This Row],[Work Order Number]])&amp;") "&amp;Defect_List[[#This Row],[Description]]</f>
        <v>No. 8) Incorrect Asset Tag</v>
      </c>
    </row>
    <row r="42" spans="1:7">
      <c r="A42" t="s">
        <v>5</v>
      </c>
      <c r="B42" t="s">
        <v>273</v>
      </c>
      <c r="C42" t="s">
        <v>202</v>
      </c>
      <c r="D42" t="s">
        <v>223</v>
      </c>
      <c r="E42" s="95" t="s">
        <v>249</v>
      </c>
      <c r="F42" s="95" t="s">
        <v>249</v>
      </c>
      <c r="G42" t="str">
        <f>"No. "&amp;COUNTIF($B$2:B42,Defect_List[[#This Row],[Work Order Number]])&amp;") "&amp;Defect_List[[#This Row],[Description]]</f>
        <v>No. 1) Fire Protection System Incomplete</v>
      </c>
    </row>
    <row r="43" spans="1:7">
      <c r="A43" t="s">
        <v>5</v>
      </c>
      <c r="B43" t="s">
        <v>273</v>
      </c>
      <c r="C43" t="s">
        <v>200</v>
      </c>
      <c r="D43" t="s">
        <v>223</v>
      </c>
      <c r="E43" s="95" t="s">
        <v>249</v>
      </c>
      <c r="F43" s="95" t="s">
        <v>249</v>
      </c>
      <c r="G43" t="str">
        <f>"No. "&amp;COUNTIF($B$2:B43,Defect_List[[#This Row],[Work Order Number]])&amp;") "&amp;Defect_List[[#This Row],[Description]]</f>
        <v>No. 2) Electrical Safety Non-Compliance</v>
      </c>
    </row>
    <row r="44" spans="1:7">
      <c r="A44" t="s">
        <v>5</v>
      </c>
      <c r="B44" t="s">
        <v>273</v>
      </c>
      <c r="C44" t="s">
        <v>203</v>
      </c>
      <c r="D44" t="s">
        <v>223</v>
      </c>
      <c r="E44" s="95" t="s">
        <v>249</v>
      </c>
      <c r="F44" s="95" t="s">
        <v>249</v>
      </c>
      <c r="G44" t="str">
        <f>"No. "&amp;COUNTIF($B$2:B44,Defect_List[[#This Row],[Work Order Number]])&amp;") "&amp;Defect_List[[#This Row],[Description]]</f>
        <v>No. 3) Mechanical System Malfunction</v>
      </c>
    </row>
    <row r="45" spans="1:7">
      <c r="A45" t="s">
        <v>5</v>
      </c>
      <c r="B45" t="s">
        <v>273</v>
      </c>
      <c r="C45" t="s">
        <v>197</v>
      </c>
      <c r="D45" t="s">
        <v>224</v>
      </c>
      <c r="E45" s="95" t="s">
        <v>249</v>
      </c>
      <c r="F45" s="95" t="s">
        <v>249</v>
      </c>
      <c r="G45" t="str">
        <f>"No. "&amp;COUNTIF($B$2:B45,Defect_List[[#This Row],[Work Order Number]])&amp;") "&amp;Defect_List[[#This Row],[Description]]</f>
        <v>No. 4) Supervisor Acknowledgement Pending</v>
      </c>
    </row>
    <row r="46" spans="1:7">
      <c r="A46" t="s">
        <v>5</v>
      </c>
      <c r="B46" t="s">
        <v>273</v>
      </c>
      <c r="C46" t="s">
        <v>196</v>
      </c>
      <c r="D46" t="s">
        <v>224</v>
      </c>
      <c r="E46" s="95" t="s">
        <v>249</v>
      </c>
      <c r="F46" s="95" t="s">
        <v>249</v>
      </c>
      <c r="G46" t="str">
        <f>"No. "&amp;COUNTIF($B$2:B46,Defect_List[[#This Row],[Work Order Number]])&amp;") "&amp;Defect_List[[#This Row],[Description]]</f>
        <v>No. 5) Photo Evidence Missing</v>
      </c>
    </row>
    <row r="47" spans="1:7">
      <c r="A47" t="s">
        <v>5</v>
      </c>
      <c r="B47" t="s">
        <v>275</v>
      </c>
      <c r="C47" t="s">
        <v>201</v>
      </c>
      <c r="D47" t="s">
        <v>223</v>
      </c>
      <c r="E47" s="95" t="s">
        <v>249</v>
      </c>
      <c r="F47" s="95" t="s">
        <v>249</v>
      </c>
      <c r="G47" t="str">
        <f>"No. "&amp;COUNTIF($B$2:B47,Defect_List[[#This Row],[Work Order Number]])&amp;") "&amp;Defect_List[[#This Row],[Description]]</f>
        <v>No. 1) Structural Integrity Issue</v>
      </c>
    </row>
    <row r="48" spans="1:7">
      <c r="A48" t="s">
        <v>5</v>
      </c>
      <c r="B48" t="s">
        <v>275</v>
      </c>
      <c r="C48" t="s">
        <v>202</v>
      </c>
      <c r="D48" t="s">
        <v>223</v>
      </c>
      <c r="E48" s="95" t="s">
        <v>249</v>
      </c>
      <c r="F48" s="95" t="s">
        <v>249</v>
      </c>
      <c r="G48" t="str">
        <f>"No. "&amp;COUNTIF($B$2:B48,Defect_List[[#This Row],[Work Order Number]])&amp;") "&amp;Defect_List[[#This Row],[Description]]</f>
        <v>No. 2) Fire Protection System Incomplete</v>
      </c>
    </row>
    <row r="49" spans="1:7">
      <c r="A49" t="s">
        <v>5</v>
      </c>
      <c r="B49" t="s">
        <v>275</v>
      </c>
      <c r="C49" t="s">
        <v>200</v>
      </c>
      <c r="D49" t="s">
        <v>223</v>
      </c>
      <c r="E49" s="95" t="s">
        <v>249</v>
      </c>
      <c r="F49" s="95" t="s">
        <v>249</v>
      </c>
      <c r="G49" t="str">
        <f>"No. "&amp;COUNTIF($B$2:B49,Defect_List[[#This Row],[Work Order Number]])&amp;") "&amp;Defect_List[[#This Row],[Description]]</f>
        <v>No. 3) Electrical Safety Non-Compliance</v>
      </c>
    </row>
    <row r="50" spans="1:7">
      <c r="A50" t="s">
        <v>5</v>
      </c>
      <c r="B50" t="s">
        <v>275</v>
      </c>
      <c r="C50" t="s">
        <v>203</v>
      </c>
      <c r="D50" t="s">
        <v>223</v>
      </c>
      <c r="E50" s="95" t="s">
        <v>249</v>
      </c>
      <c r="F50" s="95" t="s">
        <v>249</v>
      </c>
      <c r="G50" t="str">
        <f>"No. "&amp;COUNTIF($B$2:B50,Defect_List[[#This Row],[Work Order Number]])&amp;") "&amp;Defect_List[[#This Row],[Description]]</f>
        <v>No. 4) Mechanical System Malfunction</v>
      </c>
    </row>
    <row r="51" spans="1:7">
      <c r="A51" t="s">
        <v>5</v>
      </c>
      <c r="B51" t="s">
        <v>275</v>
      </c>
      <c r="C51" t="s">
        <v>204</v>
      </c>
      <c r="D51" t="s">
        <v>223</v>
      </c>
      <c r="E51" s="95" t="s">
        <v>249</v>
      </c>
      <c r="F51" s="95" t="s">
        <v>249</v>
      </c>
      <c r="G51" t="str">
        <f>"No. "&amp;COUNTIF($B$2:B51,Defect_List[[#This Row],[Work Order Number]])&amp;") "&amp;Defect_List[[#This Row],[Description]]</f>
        <v>No. 5) Regulatory Approval Pending</v>
      </c>
    </row>
    <row r="52" spans="1:7">
      <c r="A52" t="s">
        <v>5</v>
      </c>
      <c r="B52" t="s">
        <v>275</v>
      </c>
      <c r="C52" t="s">
        <v>189</v>
      </c>
      <c r="D52" t="s">
        <v>224</v>
      </c>
      <c r="E52" s="95" t="s">
        <v>249</v>
      </c>
      <c r="F52" s="95" t="s">
        <v>249</v>
      </c>
      <c r="G52" t="str">
        <f>"No. "&amp;COUNTIF($B$2:B52,Defect_List[[#This Row],[Work Order Number]])&amp;") "&amp;Defect_List[[#This Row],[Description]]</f>
        <v>No. 6) Checklist Not Signed</v>
      </c>
    </row>
    <row r="53" spans="1:7">
      <c r="A53" t="s">
        <v>5</v>
      </c>
      <c r="B53" t="s">
        <v>275</v>
      </c>
      <c r="C53" t="s">
        <v>190</v>
      </c>
      <c r="D53" t="s">
        <v>224</v>
      </c>
      <c r="E53" s="95" t="s">
        <v>249</v>
      </c>
      <c r="F53" s="95" t="s">
        <v>249</v>
      </c>
      <c r="G53" t="str">
        <f>"No. "&amp;COUNTIF($B$2:B53,Defect_List[[#This Row],[Work Order Number]])&amp;") "&amp;Defect_List[[#This Row],[Description]]</f>
        <v>No. 7) Calibration Record Pending</v>
      </c>
    </row>
    <row r="54" spans="1:7">
      <c r="A54" t="s">
        <v>5</v>
      </c>
      <c r="B54" t="s">
        <v>275</v>
      </c>
      <c r="C54" t="s">
        <v>186</v>
      </c>
      <c r="D54" t="s">
        <v>224</v>
      </c>
      <c r="E54" s="95" t="s">
        <v>249</v>
      </c>
      <c r="F54" s="95" t="s">
        <v>249</v>
      </c>
      <c r="G54" t="str">
        <f>"No. "&amp;COUNTIF($B$2:B54,Defect_List[[#This Row],[Work Order Number]])&amp;") "&amp;Defect_List[[#This Row],[Description]]</f>
        <v>No. 8) Missing Equipment Label</v>
      </c>
    </row>
    <row r="55" spans="1:7">
      <c r="A55" t="s">
        <v>5</v>
      </c>
      <c r="B55" t="s">
        <v>275</v>
      </c>
      <c r="C55" t="s">
        <v>196</v>
      </c>
      <c r="D55" t="s">
        <v>224</v>
      </c>
      <c r="E55" s="95" t="s">
        <v>249</v>
      </c>
      <c r="F55" s="95" t="s">
        <v>249</v>
      </c>
      <c r="G55" t="str">
        <f>"No. "&amp;COUNTIF($B$2:B55,Defect_List[[#This Row],[Work Order Number]])&amp;") "&amp;Defect_List[[#This Row],[Description]]</f>
        <v>No. 9) Photo Evidence Missing</v>
      </c>
    </row>
    <row r="56" spans="1:7">
      <c r="A56" t="s">
        <v>5</v>
      </c>
      <c r="B56" t="s">
        <v>275</v>
      </c>
      <c r="C56" t="s">
        <v>195</v>
      </c>
      <c r="D56" t="s">
        <v>224</v>
      </c>
      <c r="E56" s="95" t="s">
        <v>249</v>
      </c>
      <c r="F56" s="95" t="s">
        <v>249</v>
      </c>
      <c r="G56" t="str">
        <f>"No. "&amp;COUNTIF($B$2:B56,Defect_List[[#This Row],[Work Order Number]])&amp;") "&amp;Defect_List[[#This Row],[Description]]</f>
        <v>No. 10) Final Inspection Pending</v>
      </c>
    </row>
    <row r="57" spans="1:7">
      <c r="A57" t="s">
        <v>5</v>
      </c>
      <c r="B57" t="s">
        <v>275</v>
      </c>
      <c r="C57" t="s">
        <v>199</v>
      </c>
      <c r="D57" t="s">
        <v>224</v>
      </c>
      <c r="E57" s="95" t="s">
        <v>249</v>
      </c>
      <c r="F57" s="95" t="s">
        <v>249</v>
      </c>
      <c r="G57" t="str">
        <f>"No. "&amp;COUNTIF($B$2:B57,Defect_List[[#This Row],[Work Order Number]])&amp;") "&amp;Defect_List[[#This Row],[Description]]</f>
        <v>No. 11) Missing physical receipt of purchase</v>
      </c>
    </row>
    <row r="58" spans="1:7">
      <c r="A58" t="s">
        <v>5</v>
      </c>
      <c r="B58" t="s">
        <v>283</v>
      </c>
      <c r="C58" t="s">
        <v>186</v>
      </c>
      <c r="D58" t="s">
        <v>224</v>
      </c>
      <c r="E58" s="95" t="s">
        <v>249</v>
      </c>
      <c r="F58" s="95" t="s">
        <v>249</v>
      </c>
      <c r="G58" t="str">
        <f>"No. "&amp;COUNTIF($B$2:B58,Defect_List[[#This Row],[Work Order Number]])&amp;") "&amp;Defect_List[[#This Row],[Description]]</f>
        <v>No. 1) Missing Equipment Label</v>
      </c>
    </row>
    <row r="59" spans="1:7">
      <c r="A59" t="s">
        <v>5</v>
      </c>
      <c r="B59" t="s">
        <v>283</v>
      </c>
      <c r="C59" t="s">
        <v>188</v>
      </c>
      <c r="D59" t="s">
        <v>224</v>
      </c>
      <c r="E59" s="95" t="s">
        <v>249</v>
      </c>
      <c r="F59" s="95" t="s">
        <v>249</v>
      </c>
      <c r="G59" t="str">
        <f>"No. "&amp;COUNTIF($B$2:B59,Defect_List[[#This Row],[Work Order Number]])&amp;") "&amp;Defect_List[[#This Row],[Description]]</f>
        <v>No. 2) Incorrect Asset Tag</v>
      </c>
    </row>
    <row r="60" spans="1:7">
      <c r="A60" t="s">
        <v>5</v>
      </c>
      <c r="B60" t="s">
        <v>285</v>
      </c>
      <c r="C60" t="s">
        <v>203</v>
      </c>
      <c r="D60" t="s">
        <v>223</v>
      </c>
      <c r="E60" s="95" t="s">
        <v>249</v>
      </c>
      <c r="F60" s="95" t="s">
        <v>249</v>
      </c>
      <c r="G60" t="str">
        <f>"No. "&amp;COUNTIF($B$2:B60,Defect_List[[#This Row],[Work Order Number]])&amp;") "&amp;Defect_List[[#This Row],[Description]]</f>
        <v>No. 1) Mechanical System Malfunction</v>
      </c>
    </row>
    <row r="61" spans="1:7">
      <c r="A61" t="s">
        <v>5</v>
      </c>
      <c r="B61" t="s">
        <v>286</v>
      </c>
      <c r="C61" t="s">
        <v>200</v>
      </c>
      <c r="D61" t="s">
        <v>223</v>
      </c>
      <c r="E61" s="95" t="s">
        <v>265</v>
      </c>
      <c r="F61" s="95" t="s">
        <v>158</v>
      </c>
      <c r="G61" t="str">
        <f>"No. "&amp;COUNTIF($B$2:B61,Defect_List[[#This Row],[Work Order Number]])&amp;") "&amp;Defect_List[[#This Row],[Description]]</f>
        <v>No. 1) Electrical Safety Non-Compliance</v>
      </c>
    </row>
    <row r="62" spans="1:7">
      <c r="A62" t="s">
        <v>5</v>
      </c>
      <c r="B62" t="s">
        <v>286</v>
      </c>
      <c r="C62" t="s">
        <v>201</v>
      </c>
      <c r="D62" t="s">
        <v>223</v>
      </c>
      <c r="E62" s="95" t="s">
        <v>265</v>
      </c>
      <c r="F62" s="95" t="s">
        <v>158</v>
      </c>
      <c r="G62" t="str">
        <f>"No. "&amp;COUNTIF($B$2:B62,Defect_List[[#This Row],[Work Order Number]])&amp;") "&amp;Defect_List[[#This Row],[Description]]</f>
        <v>No. 2) Structural Integrity Issue</v>
      </c>
    </row>
    <row r="63" spans="1:7">
      <c r="A63" t="s">
        <v>5</v>
      </c>
      <c r="B63" t="s">
        <v>286</v>
      </c>
      <c r="C63" t="s">
        <v>203</v>
      </c>
      <c r="D63" t="s">
        <v>223</v>
      </c>
      <c r="E63" s="95" t="s">
        <v>265</v>
      </c>
      <c r="F63" s="95" t="s">
        <v>158</v>
      </c>
      <c r="G63" t="str">
        <f>"No. "&amp;COUNTIF($B$2:B63,Defect_List[[#This Row],[Work Order Number]])&amp;") "&amp;Defect_List[[#This Row],[Description]]</f>
        <v>No. 3) Mechanical System Malfunction</v>
      </c>
    </row>
    <row r="64" spans="1:7">
      <c r="A64" t="s">
        <v>5</v>
      </c>
      <c r="B64" t="s">
        <v>282</v>
      </c>
      <c r="C64" t="s">
        <v>200</v>
      </c>
      <c r="D64" t="s">
        <v>223</v>
      </c>
      <c r="E64" s="95" t="s">
        <v>250</v>
      </c>
      <c r="F64" s="95" t="s">
        <v>251</v>
      </c>
      <c r="G64" t="str">
        <f>"No. "&amp;COUNTIF($B$2:B64,Defect_List[[#This Row],[Work Order Number]])&amp;") "&amp;Defect_List[[#This Row],[Description]]</f>
        <v>No. 1) Electrical Safety Non-Compliance</v>
      </c>
    </row>
    <row r="65" spans="1:7">
      <c r="A65" t="s">
        <v>5</v>
      </c>
      <c r="B65" t="s">
        <v>282</v>
      </c>
      <c r="C65" t="s">
        <v>203</v>
      </c>
      <c r="D65" t="s">
        <v>223</v>
      </c>
      <c r="E65" s="95" t="s">
        <v>250</v>
      </c>
      <c r="F65" s="95" t="s">
        <v>251</v>
      </c>
      <c r="G65" t="str">
        <f>"No. "&amp;COUNTIF($B$2:B65,Defect_List[[#This Row],[Work Order Number]])&amp;") "&amp;Defect_List[[#This Row],[Description]]</f>
        <v>No. 2) Mechanical System Malfunction</v>
      </c>
    </row>
    <row r="66" spans="1:7">
      <c r="A66" t="s">
        <v>5</v>
      </c>
      <c r="B66" t="s">
        <v>282</v>
      </c>
      <c r="C66" t="s">
        <v>201</v>
      </c>
      <c r="D66" t="s">
        <v>223</v>
      </c>
      <c r="E66" s="95" t="s">
        <v>250</v>
      </c>
      <c r="F66" s="95" t="s">
        <v>251</v>
      </c>
      <c r="G66" t="str">
        <f>"No. "&amp;COUNTIF($B$2:B66,Defect_List[[#This Row],[Work Order Number]])&amp;") "&amp;Defect_List[[#This Row],[Description]]</f>
        <v>No. 3) Structural Integrity Issue</v>
      </c>
    </row>
    <row r="67" spans="1:7">
      <c r="A67" t="s">
        <v>5</v>
      </c>
      <c r="B67" t="s">
        <v>282</v>
      </c>
      <c r="C67" t="s">
        <v>204</v>
      </c>
      <c r="D67" t="s">
        <v>223</v>
      </c>
      <c r="E67" s="95" t="s">
        <v>250</v>
      </c>
      <c r="F67" s="95" t="s">
        <v>251</v>
      </c>
      <c r="G67" t="str">
        <f>"No. "&amp;COUNTIF($B$2:B67,Defect_List[[#This Row],[Work Order Number]])&amp;") "&amp;Defect_List[[#This Row],[Description]]</f>
        <v>No. 4) Regulatory Approval Pending</v>
      </c>
    </row>
    <row r="68" spans="1:7">
      <c r="A68" t="s">
        <v>5</v>
      </c>
      <c r="B68" t="s">
        <v>282</v>
      </c>
      <c r="C68" t="s">
        <v>187</v>
      </c>
      <c r="D68" t="s">
        <v>224</v>
      </c>
      <c r="E68" s="95" t="s">
        <v>250</v>
      </c>
      <c r="F68" s="95" t="s">
        <v>251</v>
      </c>
      <c r="G68" t="str">
        <f>"No. "&amp;COUNTIF($B$2:B68,Defect_List[[#This Row],[Work Order Number]])&amp;") "&amp;Defect_List[[#This Row],[Description]]</f>
        <v>No. 5) Incomplete Maintenance Record</v>
      </c>
    </row>
    <row r="69" spans="1:7">
      <c r="A69" t="s">
        <v>5</v>
      </c>
      <c r="B69" t="s">
        <v>282</v>
      </c>
      <c r="C69" t="s">
        <v>199</v>
      </c>
      <c r="D69" t="s">
        <v>224</v>
      </c>
      <c r="E69" s="95" t="s">
        <v>250</v>
      </c>
      <c r="F69" s="95" t="s">
        <v>251</v>
      </c>
      <c r="G69" t="str">
        <f>"No. "&amp;COUNTIF($B$2:B69,Defect_List[[#This Row],[Work Order Number]])&amp;") "&amp;Defect_List[[#This Row],[Description]]</f>
        <v>No. 6) Missing physical receipt of purchase</v>
      </c>
    </row>
    <row r="70" spans="1:7">
      <c r="A70" t="s">
        <v>5</v>
      </c>
      <c r="B70" t="s">
        <v>282</v>
      </c>
      <c r="C70" t="s">
        <v>186</v>
      </c>
      <c r="D70" t="s">
        <v>224</v>
      </c>
      <c r="E70" s="95" t="s">
        <v>250</v>
      </c>
      <c r="F70" s="95" t="s">
        <v>251</v>
      </c>
      <c r="G70" t="str">
        <f>"No. "&amp;COUNTIF($B$2:B70,Defect_List[[#This Row],[Work Order Number]])&amp;") "&amp;Defect_List[[#This Row],[Description]]</f>
        <v>No. 7) Missing Equipment Label</v>
      </c>
    </row>
    <row r="71" spans="1:7">
      <c r="A71" t="s">
        <v>5</v>
      </c>
      <c r="B71" t="s">
        <v>292</v>
      </c>
      <c r="C71" t="s">
        <v>198</v>
      </c>
      <c r="D71" t="s">
        <v>224</v>
      </c>
      <c r="E71" s="95" t="s">
        <v>243</v>
      </c>
      <c r="F71" s="95" t="s">
        <v>244</v>
      </c>
      <c r="G71" t="str">
        <f>"No. "&amp;COUNTIF($B$2:B71,Defect_List[[#This Row],[Work Order Number]])&amp;") "&amp;Defect_List[[#This Row],[Description]]</f>
        <v>No. 1) Worn out cable ties</v>
      </c>
    </row>
    <row r="72" spans="1:7">
      <c r="A72" t="s">
        <v>5</v>
      </c>
      <c r="B72" t="s">
        <v>292</v>
      </c>
      <c r="C72" t="s">
        <v>192</v>
      </c>
      <c r="D72" t="s">
        <v>224</v>
      </c>
      <c r="E72" s="95" t="s">
        <v>243</v>
      </c>
      <c r="F72" s="95" t="s">
        <v>244</v>
      </c>
      <c r="G72" t="str">
        <f>"No. "&amp;COUNTIF($B$2:B72,Defect_List[[#This Row],[Work Order Number]])&amp;") "&amp;Defect_List[[#This Row],[Description]]</f>
        <v>No. 2) Paint Touch-Up Required</v>
      </c>
    </row>
    <row r="73" spans="1:7">
      <c r="A73" t="s">
        <v>5</v>
      </c>
      <c r="B73" t="s">
        <v>292</v>
      </c>
      <c r="C73" t="s">
        <v>194</v>
      </c>
      <c r="D73" t="s">
        <v>224</v>
      </c>
      <c r="E73" s="95" t="s">
        <v>243</v>
      </c>
      <c r="F73" s="95" t="s">
        <v>244</v>
      </c>
      <c r="G73" t="str">
        <f>"No. "&amp;COUNTIF($B$2:B73,Defect_List[[#This Row],[Work Order Number]])&amp;") "&amp;Defect_List[[#This Row],[Description]]</f>
        <v>No. 3) Temporary Marking Missing</v>
      </c>
    </row>
    <row r="74" spans="1:7">
      <c r="A74" t="s">
        <v>5</v>
      </c>
      <c r="B74" t="s">
        <v>292</v>
      </c>
      <c r="C74" t="s">
        <v>196</v>
      </c>
      <c r="D74" t="s">
        <v>224</v>
      </c>
      <c r="E74" s="95" t="s">
        <v>243</v>
      </c>
      <c r="F74" s="95" t="s">
        <v>244</v>
      </c>
      <c r="G74" t="str">
        <f>"No. "&amp;COUNTIF($B$2:B74,Defect_List[[#This Row],[Work Order Number]])&amp;") "&amp;Defect_List[[#This Row],[Description]]</f>
        <v>No. 4) Photo Evidence Missing</v>
      </c>
    </row>
    <row r="75" spans="1:7">
      <c r="A75" t="s">
        <v>5</v>
      </c>
      <c r="B75" t="s">
        <v>287</v>
      </c>
      <c r="C75" t="s">
        <v>201</v>
      </c>
      <c r="D75" t="s">
        <v>223</v>
      </c>
      <c r="E75" s="95" t="s">
        <v>239</v>
      </c>
      <c r="F75" s="95" t="s">
        <v>240</v>
      </c>
      <c r="G75" t="str">
        <f>"No. "&amp;COUNTIF($B$2:B75,Defect_List[[#This Row],[Work Order Number]])&amp;") "&amp;Defect_List[[#This Row],[Description]]</f>
        <v>No. 1) Structural Integrity Issue</v>
      </c>
    </row>
    <row r="76" spans="1:7">
      <c r="A76" t="s">
        <v>5</v>
      </c>
      <c r="B76" t="s">
        <v>287</v>
      </c>
      <c r="C76" t="s">
        <v>204</v>
      </c>
      <c r="D76" t="s">
        <v>223</v>
      </c>
      <c r="E76" s="95" t="s">
        <v>239</v>
      </c>
      <c r="F76" s="95" t="s">
        <v>240</v>
      </c>
      <c r="G76" t="str">
        <f>"No. "&amp;COUNTIF($B$2:B76,Defect_List[[#This Row],[Work Order Number]])&amp;") "&amp;Defect_List[[#This Row],[Description]]</f>
        <v>No. 2) Regulatory Approval Pending</v>
      </c>
    </row>
    <row r="77" spans="1:7">
      <c r="A77" t="s">
        <v>5</v>
      </c>
      <c r="B77" t="s">
        <v>287</v>
      </c>
      <c r="C77" t="s">
        <v>191</v>
      </c>
      <c r="D77" t="s">
        <v>224</v>
      </c>
      <c r="E77" s="95" t="s">
        <v>239</v>
      </c>
      <c r="F77" s="95" t="s">
        <v>240</v>
      </c>
      <c r="G77" t="str">
        <f>"No. "&amp;COUNTIF($B$2:B77,Defect_List[[#This Row],[Work Order Number]])&amp;") "&amp;Defect_List[[#This Row],[Description]]</f>
        <v>No. 3) Poor Cable Management</v>
      </c>
    </row>
    <row r="78" spans="1:7">
      <c r="A78" t="s">
        <v>5</v>
      </c>
      <c r="B78" t="s">
        <v>287</v>
      </c>
      <c r="C78" t="s">
        <v>192</v>
      </c>
      <c r="D78" t="s">
        <v>224</v>
      </c>
      <c r="E78" s="95" t="s">
        <v>239</v>
      </c>
      <c r="F78" s="95" t="s">
        <v>240</v>
      </c>
      <c r="G78" t="str">
        <f>"No. "&amp;COUNTIF($B$2:B78,Defect_List[[#This Row],[Work Order Number]])&amp;") "&amp;Defect_List[[#This Row],[Description]]</f>
        <v>No. 4) Paint Touch-Up Required</v>
      </c>
    </row>
    <row r="79" spans="1:7">
      <c r="A79" t="s">
        <v>5</v>
      </c>
      <c r="B79" t="s">
        <v>287</v>
      </c>
      <c r="C79" t="s">
        <v>198</v>
      </c>
      <c r="D79" t="s">
        <v>224</v>
      </c>
      <c r="E79" s="95" t="s">
        <v>239</v>
      </c>
      <c r="F79" s="95" t="s">
        <v>240</v>
      </c>
      <c r="G79" t="str">
        <f>"No. "&amp;COUNTIF($B$2:B79,Defect_List[[#This Row],[Work Order Number]])&amp;") "&amp;Defect_List[[#This Row],[Description]]</f>
        <v>No. 5) Worn out cable ties</v>
      </c>
    </row>
    <row r="80" spans="1:7">
      <c r="A80" t="s">
        <v>5</v>
      </c>
      <c r="B80" t="s">
        <v>287</v>
      </c>
      <c r="C80" t="s">
        <v>193</v>
      </c>
      <c r="D80" t="s">
        <v>224</v>
      </c>
      <c r="E80" s="95" t="s">
        <v>239</v>
      </c>
      <c r="F80" s="95" t="s">
        <v>240</v>
      </c>
      <c r="G80" t="str">
        <f>"No. "&amp;COUNTIF($B$2:B80,Defect_List[[#This Row],[Work Order Number]])&amp;") "&amp;Defect_List[[#This Row],[Description]]</f>
        <v>No. 6) Minor Leak Stain</v>
      </c>
    </row>
    <row r="81" spans="1:7">
      <c r="A81" t="s">
        <v>5</v>
      </c>
      <c r="B81" t="s">
        <v>287</v>
      </c>
      <c r="C81" t="s">
        <v>195</v>
      </c>
      <c r="D81" t="s">
        <v>224</v>
      </c>
      <c r="E81" s="95" t="s">
        <v>239</v>
      </c>
      <c r="F81" s="95" t="s">
        <v>240</v>
      </c>
      <c r="G81" t="str">
        <f>"No. "&amp;COUNTIF($B$2:B81,Defect_List[[#This Row],[Work Order Number]])&amp;") "&amp;Defect_List[[#This Row],[Description]]</f>
        <v>No. 7) Final Inspection Pending</v>
      </c>
    </row>
    <row r="82" spans="1:7">
      <c r="A82" t="s">
        <v>5</v>
      </c>
      <c r="B82" t="s">
        <v>289</v>
      </c>
      <c r="C82" t="s">
        <v>200</v>
      </c>
      <c r="D82" t="s">
        <v>223</v>
      </c>
      <c r="E82" s="95" t="s">
        <v>239</v>
      </c>
      <c r="F82" s="95" t="s">
        <v>240</v>
      </c>
      <c r="G82" t="str">
        <f>"No. "&amp;COUNTIF($B$2:B82,Defect_List[[#This Row],[Work Order Number]])&amp;") "&amp;Defect_List[[#This Row],[Description]]</f>
        <v>No. 1) Electrical Safety Non-Compliance</v>
      </c>
    </row>
    <row r="83" spans="1:7">
      <c r="A83" t="s">
        <v>5</v>
      </c>
      <c r="B83" t="s">
        <v>289</v>
      </c>
      <c r="C83" t="s">
        <v>202</v>
      </c>
      <c r="D83" t="s">
        <v>223</v>
      </c>
      <c r="E83" s="95" t="s">
        <v>239</v>
      </c>
      <c r="F83" s="95" t="s">
        <v>240</v>
      </c>
      <c r="G83" t="str">
        <f>"No. "&amp;COUNTIF($B$2:B83,Defect_List[[#This Row],[Work Order Number]])&amp;") "&amp;Defect_List[[#This Row],[Description]]</f>
        <v>No. 2) Fire Protection System Incomplete</v>
      </c>
    </row>
    <row r="84" spans="1:7">
      <c r="A84" t="s">
        <v>5</v>
      </c>
      <c r="B84" t="s">
        <v>289</v>
      </c>
      <c r="C84" t="s">
        <v>203</v>
      </c>
      <c r="D84" t="s">
        <v>223</v>
      </c>
      <c r="E84" s="95" t="s">
        <v>239</v>
      </c>
      <c r="F84" s="95" t="s">
        <v>240</v>
      </c>
      <c r="G84" t="str">
        <f>"No. "&amp;COUNTIF($B$2:B84,Defect_List[[#This Row],[Work Order Number]])&amp;") "&amp;Defect_List[[#This Row],[Description]]</f>
        <v>No. 3) Mechanical System Malfunction</v>
      </c>
    </row>
    <row r="85" spans="1:7">
      <c r="A85" t="s">
        <v>5</v>
      </c>
      <c r="B85" t="s">
        <v>290</v>
      </c>
      <c r="C85" t="s">
        <v>198</v>
      </c>
      <c r="D85" t="s">
        <v>224</v>
      </c>
      <c r="E85" s="95" t="s">
        <v>239</v>
      </c>
      <c r="F85" s="95" t="s">
        <v>240</v>
      </c>
      <c r="G85" t="str">
        <f>"No. "&amp;COUNTIF($B$2:B85,Defect_List[[#This Row],[Work Order Number]])&amp;") "&amp;Defect_List[[#This Row],[Description]]</f>
        <v>No. 1) Worn out cable ties</v>
      </c>
    </row>
    <row r="86" spans="1:7">
      <c r="A86" t="s">
        <v>5</v>
      </c>
      <c r="B86" t="s">
        <v>288</v>
      </c>
      <c r="C86" t="s">
        <v>195</v>
      </c>
      <c r="D86" t="s">
        <v>224</v>
      </c>
      <c r="E86" s="95" t="s">
        <v>247</v>
      </c>
      <c r="F86" s="95" t="s">
        <v>248</v>
      </c>
      <c r="G86" t="str">
        <f>"No. "&amp;COUNTIF($B$2:B86,Defect_List[[#This Row],[Work Order Number]])&amp;") "&amp;Defect_List[[#This Row],[Description]]</f>
        <v>No. 1) Final Inspection Pending</v>
      </c>
    </row>
    <row r="87" spans="1:7">
      <c r="A87" t="s">
        <v>5</v>
      </c>
      <c r="B87" t="s">
        <v>288</v>
      </c>
      <c r="C87" t="s">
        <v>193</v>
      </c>
      <c r="D87" t="s">
        <v>224</v>
      </c>
      <c r="E87" s="95" t="s">
        <v>247</v>
      </c>
      <c r="F87" s="95" t="s">
        <v>248</v>
      </c>
      <c r="G87" t="str">
        <f>"No. "&amp;COUNTIF($B$2:B87,Defect_List[[#This Row],[Work Order Number]])&amp;") "&amp;Defect_List[[#This Row],[Description]]</f>
        <v>No. 2) Minor Leak Stain</v>
      </c>
    </row>
    <row r="88" spans="1:7">
      <c r="A88" t="s">
        <v>5</v>
      </c>
      <c r="B88" t="s">
        <v>288</v>
      </c>
      <c r="C88" t="s">
        <v>196</v>
      </c>
      <c r="D88" t="s">
        <v>224</v>
      </c>
      <c r="E88" s="95" t="s">
        <v>247</v>
      </c>
      <c r="F88" s="95" t="s">
        <v>248</v>
      </c>
      <c r="G88" t="str">
        <f>"No. "&amp;COUNTIF($B$2:B88,Defect_List[[#This Row],[Work Order Number]])&amp;") "&amp;Defect_List[[#This Row],[Description]]</f>
        <v>No. 3) Photo Evidence Missing</v>
      </c>
    </row>
    <row r="89" spans="1:7">
      <c r="A89" t="s">
        <v>5</v>
      </c>
      <c r="B89" t="s">
        <v>279</v>
      </c>
      <c r="C89" t="s">
        <v>200</v>
      </c>
      <c r="D89" t="s">
        <v>223</v>
      </c>
      <c r="E89" s="95" t="s">
        <v>245</v>
      </c>
      <c r="F89" s="95" t="s">
        <v>246</v>
      </c>
      <c r="G89" t="str">
        <f>"No. "&amp;COUNTIF($B$2:B89,Defect_List[[#This Row],[Work Order Number]])&amp;") "&amp;Defect_List[[#This Row],[Description]]</f>
        <v>No. 1) Electrical Safety Non-Compliance</v>
      </c>
    </row>
    <row r="90" spans="1:7">
      <c r="A90" t="s">
        <v>5</v>
      </c>
      <c r="B90" t="s">
        <v>279</v>
      </c>
      <c r="C90" t="s">
        <v>202</v>
      </c>
      <c r="D90" t="s">
        <v>223</v>
      </c>
      <c r="E90" s="95" t="s">
        <v>245</v>
      </c>
      <c r="F90" s="95" t="s">
        <v>246</v>
      </c>
      <c r="G90" t="str">
        <f>"No. "&amp;COUNTIF($B$2:B90,Defect_List[[#This Row],[Work Order Number]])&amp;") "&amp;Defect_List[[#This Row],[Description]]</f>
        <v>No. 2) Fire Protection System Incomplete</v>
      </c>
    </row>
    <row r="91" spans="1:7">
      <c r="A91" t="s">
        <v>5</v>
      </c>
      <c r="B91" t="s">
        <v>279</v>
      </c>
      <c r="C91" t="s">
        <v>203</v>
      </c>
      <c r="D91" t="s">
        <v>223</v>
      </c>
      <c r="E91" s="95" t="s">
        <v>245</v>
      </c>
      <c r="F91" s="95" t="s">
        <v>246</v>
      </c>
      <c r="G91" t="str">
        <f>"No. "&amp;COUNTIF($B$2:B91,Defect_List[[#This Row],[Work Order Number]])&amp;") "&amp;Defect_List[[#This Row],[Description]]</f>
        <v>No. 3) Mechanical System Malfunction</v>
      </c>
    </row>
    <row r="92" spans="1:7">
      <c r="A92" t="s">
        <v>5</v>
      </c>
      <c r="B92" t="s">
        <v>279</v>
      </c>
      <c r="C92" t="s">
        <v>201</v>
      </c>
      <c r="D92" t="s">
        <v>223</v>
      </c>
      <c r="E92" s="95" t="s">
        <v>245</v>
      </c>
      <c r="F92" s="95" t="s">
        <v>246</v>
      </c>
      <c r="G92" t="str">
        <f>"No. "&amp;COUNTIF($B$2:B92,Defect_List[[#This Row],[Work Order Number]])&amp;") "&amp;Defect_List[[#This Row],[Description]]</f>
        <v>No. 4) Structural Integrity Issue</v>
      </c>
    </row>
    <row r="93" spans="1:7">
      <c r="A93" t="s">
        <v>5</v>
      </c>
      <c r="B93" t="s">
        <v>279</v>
      </c>
      <c r="C93" t="s">
        <v>191</v>
      </c>
      <c r="D93" t="s">
        <v>224</v>
      </c>
      <c r="E93" s="95" t="s">
        <v>245</v>
      </c>
      <c r="F93" s="95" t="s">
        <v>246</v>
      </c>
      <c r="G93" t="str">
        <f>"No. "&amp;COUNTIF($B$2:B93,Defect_List[[#This Row],[Work Order Number]])&amp;") "&amp;Defect_List[[#This Row],[Description]]</f>
        <v>No. 5) Poor Cable Management</v>
      </c>
    </row>
    <row r="94" spans="1:7">
      <c r="A94" t="s">
        <v>5</v>
      </c>
      <c r="B94" t="s">
        <v>279</v>
      </c>
      <c r="C94" t="s">
        <v>193</v>
      </c>
      <c r="D94" t="s">
        <v>224</v>
      </c>
      <c r="E94" s="95" t="s">
        <v>245</v>
      </c>
      <c r="F94" s="95" t="s">
        <v>246</v>
      </c>
      <c r="G94" t="str">
        <f>"No. "&amp;COUNTIF($B$2:B94,Defect_List[[#This Row],[Work Order Number]])&amp;") "&amp;Defect_List[[#This Row],[Description]]</f>
        <v>No. 6) Minor Leak Stain</v>
      </c>
    </row>
    <row r="95" spans="1:7">
      <c r="A95" t="s">
        <v>5</v>
      </c>
      <c r="B95" t="s">
        <v>279</v>
      </c>
      <c r="C95" t="s">
        <v>197</v>
      </c>
      <c r="D95" t="s">
        <v>224</v>
      </c>
      <c r="E95" s="95" t="s">
        <v>245</v>
      </c>
      <c r="F95" s="95" t="s">
        <v>246</v>
      </c>
      <c r="G95" t="str">
        <f>"No. "&amp;COUNTIF($B$2:B95,Defect_List[[#This Row],[Work Order Number]])&amp;") "&amp;Defect_List[[#This Row],[Description]]</f>
        <v>No. 7) Supervisor Acknowledgement Pending</v>
      </c>
    </row>
    <row r="96" spans="1:7">
      <c r="A96" t="s">
        <v>5</v>
      </c>
      <c r="B96" t="s">
        <v>279</v>
      </c>
      <c r="C96" t="s">
        <v>192</v>
      </c>
      <c r="D96" t="s">
        <v>224</v>
      </c>
      <c r="E96" s="95" t="s">
        <v>245</v>
      </c>
      <c r="F96" s="95" t="s">
        <v>246</v>
      </c>
      <c r="G96" t="str">
        <f>"No. "&amp;COUNTIF($B$2:B96,Defect_List[[#This Row],[Work Order Number]])&amp;") "&amp;Defect_List[[#This Row],[Description]]</f>
        <v>No. 8) Paint Touch-Up Required</v>
      </c>
    </row>
    <row r="97" spans="1:7">
      <c r="A97" t="s">
        <v>5</v>
      </c>
      <c r="B97" t="s">
        <v>279</v>
      </c>
      <c r="C97" t="s">
        <v>196</v>
      </c>
      <c r="D97" t="s">
        <v>224</v>
      </c>
      <c r="E97" s="95" t="s">
        <v>245</v>
      </c>
      <c r="F97" s="95" t="s">
        <v>246</v>
      </c>
      <c r="G97" t="str">
        <f>"No. "&amp;COUNTIF($B$2:B97,Defect_List[[#This Row],[Work Order Number]])&amp;") "&amp;Defect_List[[#This Row],[Description]]</f>
        <v>No. 9) Photo Evidence Missing</v>
      </c>
    </row>
    <row r="98" spans="1:7">
      <c r="A98" t="s">
        <v>5</v>
      </c>
      <c r="B98" t="s">
        <v>279</v>
      </c>
      <c r="C98" t="s">
        <v>198</v>
      </c>
      <c r="D98" t="s">
        <v>224</v>
      </c>
      <c r="E98" s="95" t="s">
        <v>245</v>
      </c>
      <c r="F98" s="95" t="s">
        <v>246</v>
      </c>
      <c r="G98" t="str">
        <f>"No. "&amp;COUNTIF($B$2:B98,Defect_List[[#This Row],[Work Order Number]])&amp;") "&amp;Defect_List[[#This Row],[Description]]</f>
        <v>No. 10) Worn out cable ties</v>
      </c>
    </row>
    <row r="99" spans="1:7">
      <c r="A99" t="s">
        <v>5</v>
      </c>
      <c r="B99" t="s">
        <v>279</v>
      </c>
      <c r="C99" t="s">
        <v>194</v>
      </c>
      <c r="D99" t="s">
        <v>224</v>
      </c>
      <c r="E99" s="95" t="s">
        <v>245</v>
      </c>
      <c r="F99" s="95" t="s">
        <v>246</v>
      </c>
      <c r="G99" t="str">
        <f>"No. "&amp;COUNTIF($B$2:B99,Defect_List[[#This Row],[Work Order Number]])&amp;") "&amp;Defect_List[[#This Row],[Description]]</f>
        <v>No. 11) Temporary Marking Missing</v>
      </c>
    </row>
    <row r="100" spans="1:7">
      <c r="A100" t="s">
        <v>5</v>
      </c>
      <c r="B100" t="s">
        <v>300</v>
      </c>
      <c r="C100" t="s">
        <v>198</v>
      </c>
      <c r="D100" t="s">
        <v>224</v>
      </c>
      <c r="E100" s="95" t="s">
        <v>245</v>
      </c>
      <c r="F100" s="95" t="s">
        <v>246</v>
      </c>
      <c r="G100" t="str">
        <f>"No. "&amp;COUNTIF($B$2:B100,Defect_List[[#This Row],[Work Order Number]])&amp;") "&amp;Defect_List[[#This Row],[Description]]</f>
        <v>No. 1) Worn out cable ties</v>
      </c>
    </row>
    <row r="101" spans="1:7">
      <c r="A101" t="s">
        <v>5</v>
      </c>
      <c r="B101" t="s">
        <v>300</v>
      </c>
      <c r="C101" t="s">
        <v>225</v>
      </c>
      <c r="D101" t="s">
        <v>224</v>
      </c>
      <c r="E101" s="95" t="s">
        <v>245</v>
      </c>
      <c r="F101" s="95" t="s">
        <v>246</v>
      </c>
      <c r="G101" t="str">
        <f>"No. "&amp;COUNTIF($B$2:B101,Defect_List[[#This Row],[Work Order Number]])&amp;") "&amp;Defect_List[[#This Row],[Description]]</f>
        <v>No. 2) Surface Rust Observed</v>
      </c>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A22AC-736D-4154-8E99-CE6B5D160896}">
  <sheetPr codeName="Sheet4"/>
  <dimension ref="A1:C125"/>
  <sheetViews>
    <sheetView workbookViewId="0">
      <selection activeCell="K15" sqref="K15"/>
    </sheetView>
  </sheetViews>
  <sheetFormatPr defaultRowHeight="14.4"/>
  <cols>
    <col min="1" max="1" width="10.109375" bestFit="1" customWidth="1"/>
    <col min="2" max="3" width="26.44140625" customWidth="1"/>
  </cols>
  <sheetData>
    <row r="1" spans="1:3">
      <c r="A1" s="111" t="s">
        <v>449</v>
      </c>
      <c r="B1" s="79" t="s">
        <v>450</v>
      </c>
      <c r="C1" s="80" t="s">
        <v>229</v>
      </c>
    </row>
    <row r="2" spans="1:3">
      <c r="A2" s="111" t="str">
        <f t="shared" ref="A2:A65" si="0">IFERROR(_xlfn.TEXTAFTER(B2,"-",-2),"")</f>
        <v/>
      </c>
      <c r="B2" s="27"/>
      <c r="C2" s="27"/>
    </row>
    <row r="3" spans="1:3">
      <c r="A3" s="111" t="str">
        <f t="shared" si="0"/>
        <v/>
      </c>
    </row>
    <row r="4" spans="1:3">
      <c r="A4" s="111" t="str">
        <f t="shared" si="0"/>
        <v>MECH-8253</v>
      </c>
      <c r="B4" t="s">
        <v>309</v>
      </c>
      <c r="C4" t="s">
        <v>451</v>
      </c>
    </row>
    <row r="5" spans="1:3">
      <c r="A5" s="111" t="str">
        <f t="shared" si="0"/>
        <v>CIV-8227</v>
      </c>
      <c r="B5" t="s">
        <v>453</v>
      </c>
      <c r="C5" t="s">
        <v>452</v>
      </c>
    </row>
    <row r="6" spans="1:3">
      <c r="A6" s="111" t="str">
        <f t="shared" si="0"/>
        <v/>
      </c>
    </row>
    <row r="7" spans="1:3">
      <c r="A7" s="111" t="str">
        <f t="shared" si="0"/>
        <v/>
      </c>
    </row>
    <row r="8" spans="1:3">
      <c r="A8" s="111" t="str">
        <f t="shared" si="0"/>
        <v/>
      </c>
    </row>
    <row r="9" spans="1:3">
      <c r="A9" s="111" t="str">
        <f t="shared" si="0"/>
        <v/>
      </c>
    </row>
    <row r="10" spans="1:3">
      <c r="A10" s="111" t="str">
        <f t="shared" si="0"/>
        <v/>
      </c>
    </row>
    <row r="11" spans="1:3">
      <c r="A11" s="111" t="str">
        <f t="shared" si="0"/>
        <v/>
      </c>
    </row>
    <row r="12" spans="1:3">
      <c r="A12" s="111" t="str">
        <f t="shared" si="0"/>
        <v/>
      </c>
    </row>
    <row r="13" spans="1:3">
      <c r="A13" s="111" t="str">
        <f t="shared" si="0"/>
        <v/>
      </c>
    </row>
    <row r="14" spans="1:3">
      <c r="A14" s="111" t="str">
        <f t="shared" si="0"/>
        <v/>
      </c>
    </row>
    <row r="15" spans="1:3">
      <c r="A15" s="111" t="str">
        <f t="shared" si="0"/>
        <v/>
      </c>
    </row>
    <row r="16" spans="1:3">
      <c r="A16" s="111" t="str">
        <f t="shared" si="0"/>
        <v/>
      </c>
    </row>
    <row r="17" spans="1:1">
      <c r="A17" s="111" t="str">
        <f t="shared" si="0"/>
        <v/>
      </c>
    </row>
    <row r="18" spans="1:1">
      <c r="A18" s="111" t="str">
        <f t="shared" si="0"/>
        <v/>
      </c>
    </row>
    <row r="19" spans="1:1">
      <c r="A19" s="111" t="str">
        <f t="shared" si="0"/>
        <v/>
      </c>
    </row>
    <row r="20" spans="1:1">
      <c r="A20" s="111" t="str">
        <f t="shared" si="0"/>
        <v/>
      </c>
    </row>
    <row r="21" spans="1:1">
      <c r="A21" s="111" t="str">
        <f t="shared" si="0"/>
        <v/>
      </c>
    </row>
    <row r="22" spans="1:1">
      <c r="A22" s="111" t="str">
        <f t="shared" si="0"/>
        <v/>
      </c>
    </row>
    <row r="23" spans="1:1">
      <c r="A23" s="111" t="str">
        <f t="shared" si="0"/>
        <v/>
      </c>
    </row>
    <row r="24" spans="1:1">
      <c r="A24" s="111" t="str">
        <f t="shared" si="0"/>
        <v/>
      </c>
    </row>
    <row r="25" spans="1:1">
      <c r="A25" s="111" t="str">
        <f t="shared" si="0"/>
        <v/>
      </c>
    </row>
    <row r="26" spans="1:1">
      <c r="A26" s="111" t="str">
        <f t="shared" si="0"/>
        <v/>
      </c>
    </row>
    <row r="27" spans="1:1">
      <c r="A27" s="111" t="str">
        <f t="shared" si="0"/>
        <v/>
      </c>
    </row>
    <row r="28" spans="1:1">
      <c r="A28" s="111" t="str">
        <f t="shared" si="0"/>
        <v/>
      </c>
    </row>
    <row r="29" spans="1:1">
      <c r="A29" s="111" t="str">
        <f t="shared" si="0"/>
        <v/>
      </c>
    </row>
    <row r="30" spans="1:1">
      <c r="A30" s="111" t="str">
        <f t="shared" si="0"/>
        <v/>
      </c>
    </row>
    <row r="31" spans="1:1">
      <c r="A31" s="111" t="str">
        <f t="shared" si="0"/>
        <v/>
      </c>
    </row>
    <row r="32" spans="1:1">
      <c r="A32" s="111" t="str">
        <f t="shared" si="0"/>
        <v/>
      </c>
    </row>
    <row r="33" spans="1:1">
      <c r="A33" s="111" t="str">
        <f t="shared" si="0"/>
        <v/>
      </c>
    </row>
    <row r="34" spans="1:1">
      <c r="A34" s="111" t="str">
        <f t="shared" si="0"/>
        <v/>
      </c>
    </row>
    <row r="35" spans="1:1">
      <c r="A35" s="111" t="str">
        <f t="shared" si="0"/>
        <v/>
      </c>
    </row>
    <row r="36" spans="1:1">
      <c r="A36" s="111" t="str">
        <f t="shared" si="0"/>
        <v/>
      </c>
    </row>
    <row r="37" spans="1:1">
      <c r="A37" s="111" t="str">
        <f t="shared" si="0"/>
        <v/>
      </c>
    </row>
    <row r="38" spans="1:1">
      <c r="A38" s="111" t="str">
        <f t="shared" si="0"/>
        <v/>
      </c>
    </row>
    <row r="39" spans="1:1">
      <c r="A39" s="111" t="str">
        <f t="shared" si="0"/>
        <v/>
      </c>
    </row>
    <row r="40" spans="1:1">
      <c r="A40" s="111" t="str">
        <f t="shared" si="0"/>
        <v/>
      </c>
    </row>
    <row r="41" spans="1:1">
      <c r="A41" s="111" t="str">
        <f t="shared" si="0"/>
        <v/>
      </c>
    </row>
    <row r="42" spans="1:1">
      <c r="A42" s="111" t="str">
        <f t="shared" si="0"/>
        <v/>
      </c>
    </row>
    <row r="43" spans="1:1">
      <c r="A43" s="111" t="str">
        <f t="shared" si="0"/>
        <v/>
      </c>
    </row>
    <row r="44" spans="1:1">
      <c r="A44" s="111" t="str">
        <f t="shared" si="0"/>
        <v/>
      </c>
    </row>
    <row r="45" spans="1:1">
      <c r="A45" s="111" t="str">
        <f t="shared" si="0"/>
        <v/>
      </c>
    </row>
    <row r="46" spans="1:1">
      <c r="A46" s="111" t="str">
        <f t="shared" si="0"/>
        <v/>
      </c>
    </row>
    <row r="47" spans="1:1">
      <c r="A47" s="111" t="str">
        <f t="shared" si="0"/>
        <v/>
      </c>
    </row>
    <row r="48" spans="1:1">
      <c r="A48" s="111" t="str">
        <f t="shared" si="0"/>
        <v/>
      </c>
    </row>
    <row r="49" spans="1:1">
      <c r="A49" s="111" t="str">
        <f t="shared" si="0"/>
        <v/>
      </c>
    </row>
    <row r="50" spans="1:1">
      <c r="A50" s="111" t="str">
        <f t="shared" si="0"/>
        <v/>
      </c>
    </row>
    <row r="51" spans="1:1">
      <c r="A51" s="111" t="str">
        <f t="shared" si="0"/>
        <v/>
      </c>
    </row>
    <row r="52" spans="1:1">
      <c r="A52" s="111" t="str">
        <f t="shared" si="0"/>
        <v/>
      </c>
    </row>
    <row r="53" spans="1:1">
      <c r="A53" s="111" t="str">
        <f t="shared" si="0"/>
        <v/>
      </c>
    </row>
    <row r="54" spans="1:1">
      <c r="A54" s="111" t="str">
        <f t="shared" si="0"/>
        <v/>
      </c>
    </row>
    <row r="55" spans="1:1">
      <c r="A55" s="111" t="str">
        <f t="shared" si="0"/>
        <v/>
      </c>
    </row>
    <row r="56" spans="1:1">
      <c r="A56" s="111" t="str">
        <f t="shared" si="0"/>
        <v/>
      </c>
    </row>
    <row r="57" spans="1:1">
      <c r="A57" s="111" t="str">
        <f t="shared" si="0"/>
        <v/>
      </c>
    </row>
    <row r="58" spans="1:1">
      <c r="A58" s="111" t="str">
        <f t="shared" si="0"/>
        <v/>
      </c>
    </row>
    <row r="59" spans="1:1">
      <c r="A59" s="111" t="str">
        <f t="shared" si="0"/>
        <v/>
      </c>
    </row>
    <row r="60" spans="1:1">
      <c r="A60" s="111" t="str">
        <f t="shared" si="0"/>
        <v/>
      </c>
    </row>
    <row r="61" spans="1:1">
      <c r="A61" s="111" t="str">
        <f t="shared" si="0"/>
        <v/>
      </c>
    </row>
    <row r="62" spans="1:1">
      <c r="A62" s="111" t="str">
        <f t="shared" si="0"/>
        <v/>
      </c>
    </row>
    <row r="63" spans="1:1">
      <c r="A63" s="111" t="str">
        <f t="shared" si="0"/>
        <v/>
      </c>
    </row>
    <row r="64" spans="1:1">
      <c r="A64" s="111" t="str">
        <f t="shared" si="0"/>
        <v/>
      </c>
    </row>
    <row r="65" spans="1:1">
      <c r="A65" s="111" t="str">
        <f t="shared" si="0"/>
        <v/>
      </c>
    </row>
    <row r="66" spans="1:1">
      <c r="A66" s="111" t="str">
        <f t="shared" ref="A66:A125" si="1">IFERROR(_xlfn.TEXTAFTER(B66,"-",-2),"")</f>
        <v/>
      </c>
    </row>
    <row r="67" spans="1:1">
      <c r="A67" s="111" t="str">
        <f t="shared" si="1"/>
        <v/>
      </c>
    </row>
    <row r="68" spans="1:1">
      <c r="A68" s="111" t="str">
        <f t="shared" si="1"/>
        <v/>
      </c>
    </row>
    <row r="69" spans="1:1">
      <c r="A69" s="111" t="str">
        <f t="shared" si="1"/>
        <v/>
      </c>
    </row>
    <row r="70" spans="1:1">
      <c r="A70" s="111" t="str">
        <f t="shared" si="1"/>
        <v/>
      </c>
    </row>
    <row r="71" spans="1:1">
      <c r="A71" s="111" t="str">
        <f t="shared" si="1"/>
        <v/>
      </c>
    </row>
    <row r="72" spans="1:1">
      <c r="A72" s="111" t="str">
        <f t="shared" si="1"/>
        <v/>
      </c>
    </row>
    <row r="73" spans="1:1">
      <c r="A73" s="111" t="str">
        <f t="shared" si="1"/>
        <v/>
      </c>
    </row>
    <row r="74" spans="1:1">
      <c r="A74" s="111" t="str">
        <f t="shared" si="1"/>
        <v/>
      </c>
    </row>
    <row r="75" spans="1:1">
      <c r="A75" s="111" t="str">
        <f t="shared" si="1"/>
        <v/>
      </c>
    </row>
    <row r="76" spans="1:1">
      <c r="A76" s="111" t="str">
        <f t="shared" si="1"/>
        <v/>
      </c>
    </row>
    <row r="77" spans="1:1">
      <c r="A77" s="111" t="str">
        <f t="shared" si="1"/>
        <v/>
      </c>
    </row>
    <row r="78" spans="1:1">
      <c r="A78" s="111" t="str">
        <f t="shared" si="1"/>
        <v/>
      </c>
    </row>
    <row r="79" spans="1:1">
      <c r="A79" s="111" t="str">
        <f t="shared" si="1"/>
        <v/>
      </c>
    </row>
    <row r="80" spans="1:1">
      <c r="A80" s="111" t="str">
        <f t="shared" si="1"/>
        <v/>
      </c>
    </row>
    <row r="81" spans="1:1">
      <c r="A81" s="111" t="str">
        <f t="shared" si="1"/>
        <v/>
      </c>
    </row>
    <row r="82" spans="1:1">
      <c r="A82" s="111" t="str">
        <f t="shared" si="1"/>
        <v/>
      </c>
    </row>
    <row r="83" spans="1:1">
      <c r="A83" s="111" t="str">
        <f t="shared" si="1"/>
        <v/>
      </c>
    </row>
    <row r="84" spans="1:1">
      <c r="A84" s="111" t="str">
        <f t="shared" si="1"/>
        <v/>
      </c>
    </row>
    <row r="85" spans="1:1">
      <c r="A85" s="111" t="str">
        <f t="shared" si="1"/>
        <v/>
      </c>
    </row>
    <row r="86" spans="1:1">
      <c r="A86" s="111" t="str">
        <f t="shared" si="1"/>
        <v/>
      </c>
    </row>
    <row r="87" spans="1:1">
      <c r="A87" s="111" t="str">
        <f t="shared" si="1"/>
        <v/>
      </c>
    </row>
    <row r="88" spans="1:1">
      <c r="A88" s="111" t="str">
        <f t="shared" si="1"/>
        <v/>
      </c>
    </row>
    <row r="89" spans="1:1">
      <c r="A89" s="111" t="str">
        <f t="shared" si="1"/>
        <v/>
      </c>
    </row>
    <row r="90" spans="1:1">
      <c r="A90" s="111" t="str">
        <f t="shared" si="1"/>
        <v/>
      </c>
    </row>
    <row r="91" spans="1:1">
      <c r="A91" s="111" t="str">
        <f t="shared" si="1"/>
        <v/>
      </c>
    </row>
    <row r="92" spans="1:1">
      <c r="A92" s="111" t="str">
        <f t="shared" si="1"/>
        <v/>
      </c>
    </row>
    <row r="93" spans="1:1">
      <c r="A93" s="111" t="str">
        <f t="shared" si="1"/>
        <v/>
      </c>
    </row>
    <row r="94" spans="1:1">
      <c r="A94" s="111" t="str">
        <f t="shared" si="1"/>
        <v/>
      </c>
    </row>
    <row r="95" spans="1:1">
      <c r="A95" s="111" t="str">
        <f t="shared" si="1"/>
        <v/>
      </c>
    </row>
    <row r="96" spans="1:1">
      <c r="A96" s="111" t="str">
        <f t="shared" si="1"/>
        <v/>
      </c>
    </row>
    <row r="97" spans="1:1">
      <c r="A97" s="111" t="str">
        <f t="shared" si="1"/>
        <v/>
      </c>
    </row>
    <row r="98" spans="1:1">
      <c r="A98" s="111" t="str">
        <f t="shared" si="1"/>
        <v/>
      </c>
    </row>
    <row r="99" spans="1:1">
      <c r="A99" s="111" t="str">
        <f t="shared" si="1"/>
        <v/>
      </c>
    </row>
    <row r="100" spans="1:1">
      <c r="A100" s="111" t="str">
        <f t="shared" si="1"/>
        <v/>
      </c>
    </row>
    <row r="101" spans="1:1">
      <c r="A101" s="111" t="str">
        <f t="shared" si="1"/>
        <v/>
      </c>
    </row>
    <row r="102" spans="1:1">
      <c r="A102" s="111" t="str">
        <f t="shared" si="1"/>
        <v/>
      </c>
    </row>
    <row r="103" spans="1:1">
      <c r="A103" s="111" t="str">
        <f t="shared" si="1"/>
        <v/>
      </c>
    </row>
    <row r="104" spans="1:1">
      <c r="A104" s="111" t="str">
        <f t="shared" si="1"/>
        <v/>
      </c>
    </row>
    <row r="105" spans="1:1">
      <c r="A105" s="111" t="str">
        <f t="shared" si="1"/>
        <v/>
      </c>
    </row>
    <row r="106" spans="1:1">
      <c r="A106" s="111" t="str">
        <f t="shared" si="1"/>
        <v/>
      </c>
    </row>
    <row r="107" spans="1:1">
      <c r="A107" s="111" t="str">
        <f t="shared" si="1"/>
        <v/>
      </c>
    </row>
    <row r="108" spans="1:1">
      <c r="A108" s="111" t="str">
        <f t="shared" si="1"/>
        <v/>
      </c>
    </row>
    <row r="109" spans="1:1">
      <c r="A109" s="111" t="str">
        <f t="shared" si="1"/>
        <v/>
      </c>
    </row>
    <row r="110" spans="1:1">
      <c r="A110" s="111" t="str">
        <f t="shared" si="1"/>
        <v/>
      </c>
    </row>
    <row r="111" spans="1:1">
      <c r="A111" s="111" t="str">
        <f t="shared" si="1"/>
        <v/>
      </c>
    </row>
    <row r="112" spans="1:1">
      <c r="A112" s="111" t="str">
        <f t="shared" si="1"/>
        <v/>
      </c>
    </row>
    <row r="113" spans="1:1">
      <c r="A113" s="111" t="str">
        <f t="shared" si="1"/>
        <v/>
      </c>
    </row>
    <row r="114" spans="1:1">
      <c r="A114" s="111" t="str">
        <f t="shared" si="1"/>
        <v/>
      </c>
    </row>
    <row r="115" spans="1:1">
      <c r="A115" s="111" t="str">
        <f t="shared" si="1"/>
        <v/>
      </c>
    </row>
    <row r="116" spans="1:1">
      <c r="A116" s="111" t="str">
        <f t="shared" si="1"/>
        <v/>
      </c>
    </row>
    <row r="117" spans="1:1">
      <c r="A117" s="111" t="str">
        <f t="shared" si="1"/>
        <v/>
      </c>
    </row>
    <row r="118" spans="1:1">
      <c r="A118" s="111" t="str">
        <f t="shared" si="1"/>
        <v/>
      </c>
    </row>
    <row r="119" spans="1:1">
      <c r="A119" s="111" t="str">
        <f t="shared" si="1"/>
        <v/>
      </c>
    </row>
    <row r="120" spans="1:1">
      <c r="A120" s="111" t="str">
        <f t="shared" si="1"/>
        <v/>
      </c>
    </row>
    <row r="121" spans="1:1">
      <c r="A121" s="111" t="str">
        <f t="shared" si="1"/>
        <v/>
      </c>
    </row>
    <row r="122" spans="1:1">
      <c r="A122" s="111" t="str">
        <f t="shared" si="1"/>
        <v/>
      </c>
    </row>
    <row r="123" spans="1:1">
      <c r="A123" s="111" t="str">
        <f t="shared" si="1"/>
        <v/>
      </c>
    </row>
    <row r="124" spans="1:1">
      <c r="A124" s="111" t="str">
        <f t="shared" si="1"/>
        <v/>
      </c>
    </row>
    <row r="125" spans="1:1">
      <c r="A125" s="111" t="str">
        <f t="shared" si="1"/>
        <v/>
      </c>
    </row>
  </sheetData>
  <conditionalFormatting sqref="B20:B22 B121:B1048576">
    <cfRule type="duplicateValues" dxfId="1" priority="3"/>
  </conditionalFormatting>
  <conditionalFormatting sqref="B1:C2">
    <cfRule type="duplicateValues" dxfId="0" priority="1565"/>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77C4ED96C7DC429F1D1C666C6E08FA" ma:contentTypeVersion="13" ma:contentTypeDescription="Create a new document." ma:contentTypeScope="" ma:versionID="489b49e8433c7f05bdda3c37bbd28a83">
  <xsd:schema xmlns:xsd="http://www.w3.org/2001/XMLSchema" xmlns:xs="http://www.w3.org/2001/XMLSchema" xmlns:p="http://schemas.microsoft.com/office/2006/metadata/properties" xmlns:ns3="9aadd195-7fdf-4d3b-be1d-7d389a4dd8fe" xmlns:ns4="b10fd3bc-f69c-48f3-8e5f-1aea065a6af5" targetNamespace="http://schemas.microsoft.com/office/2006/metadata/properties" ma:root="true" ma:fieldsID="8737d28962597b04e28f2928ffe22d88" ns3:_="" ns4:_="">
    <xsd:import namespace="9aadd195-7fdf-4d3b-be1d-7d389a4dd8fe"/>
    <xsd:import namespace="b10fd3bc-f69c-48f3-8e5f-1aea065a6af5"/>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add195-7fdf-4d3b-be1d-7d389a4dd8fe"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10fd3bc-f69c-48f3-8e5f-1aea065a6af5"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9aadd195-7fdf-4d3b-be1d-7d389a4dd8f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83A60F39-2F82-4437-BF8D-9DD05D39F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add195-7fdf-4d3b-be1d-7d389a4dd8fe"/>
    <ds:schemaRef ds:uri="b10fd3bc-f69c-48f3-8e5f-1aea065a6a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47AC113-93DD-48F7-92C1-712452361D9A}">
  <ds:schemaRefs>
    <ds:schemaRef ds:uri="http://schemas.microsoft.com/office/2006/metadata/properties"/>
    <ds:schemaRef ds:uri="http://schemas.microsoft.com/office/infopath/2007/PartnerControls"/>
    <ds:schemaRef ds:uri="9aadd195-7fdf-4d3b-be1d-7d389a4dd8fe"/>
  </ds:schemaRefs>
</ds:datastoreItem>
</file>

<file path=customXml/itemProps3.xml><?xml version="1.0" encoding="utf-8"?>
<ds:datastoreItem xmlns:ds="http://schemas.openxmlformats.org/officeDocument/2006/customXml" ds:itemID="{1BF82AEC-D115-4996-A5EC-A84E33229D61}">
  <ds:schemaRefs>
    <ds:schemaRef ds:uri="http://schemas.microsoft.com/sharepoint/v3/contenttype/forms"/>
  </ds:schemaRefs>
</ds:datastoreItem>
</file>

<file path=customXml/itemProps4.xml><?xml version="1.0" encoding="utf-8"?>
<ds:datastoreItem xmlns:ds="http://schemas.openxmlformats.org/officeDocument/2006/customXml" ds:itemID="{49A038AB-BB80-4D14-9571-149422D895FE}">
  <ds:schemaRefs>
    <ds:schemaRef ds:uri="http://schemas.microsoft.com/DataMashup"/>
  </ds:schemaRefs>
</ds:datastoreItem>
</file>

<file path=docMetadata/LabelInfo.xml><?xml version="1.0" encoding="utf-8"?>
<clbl:labelList xmlns:clbl="http://schemas.microsoft.com/office/2020/mipLabelMetadata">
  <clbl:label id="{8d348135-f7aa-4a4c-a71c-31df44c7cac3}" enabled="0" method="" siteId="{8d348135-f7aa-4a4c-a71c-31df44c7cac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 ME</vt:lpstr>
      <vt:lpstr>Summary Closure Overview</vt:lpstr>
      <vt:lpstr>Job Planning</vt:lpstr>
      <vt:lpstr>Defect Daily Progress</vt:lpstr>
      <vt:lpstr>Defect List</vt:lpstr>
      <vt:lpstr>Outstanding Defect (PQ)</vt:lpstr>
      <vt:lpstr>Search</vt:lpstr>
      <vt:lpstr>Defect_Table</vt:lpstr>
      <vt:lpstr>Maintenance_Job_Table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Muhammad Ariff Nadzaruddin Bin Mohamad Hamid</dc:creator>
  <cp:keywords/>
  <dc:description/>
  <cp:lastModifiedBy>Muhammad Ariff</cp:lastModifiedBy>
  <cp:revision/>
  <dcterms:created xsi:type="dcterms:W3CDTF">2015-06-05T18:17:20Z</dcterms:created>
  <dcterms:modified xsi:type="dcterms:W3CDTF">2026-02-01T11:38:24Z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0x010100EB77C4ED96C7DC429F1D1C666C6E08FA</vt:lpwstr>
  </property>
</Properties>
</file>